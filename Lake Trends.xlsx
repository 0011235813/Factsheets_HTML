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mgmtentserv-my.sharepoint.com/personal/jordon_henderson_owrb_ok_gov/Documents/Documents/Factsheets_HTML/"/>
    </mc:Choice>
  </mc:AlternateContent>
  <xr:revisionPtr revIDLastSave="88" documentId="13_ncr:1_{AB8F8A81-B659-460C-97B1-4A36028393DF}" xr6:coauthVersionLast="47" xr6:coauthVersionMax="47" xr10:uidLastSave="{E394DB62-44DE-4B8C-BCF1-C4A29E672C9C}"/>
  <bookViews>
    <workbookView minimized="1" xWindow="32655" yWindow="5370" windowWidth="21600" windowHeight="11295" xr2:uid="{45EE3177-148E-4463-BCC1-B47E3C070BBF}"/>
  </bookViews>
  <sheets>
    <sheet name="ALL Info" sheetId="1" r:id="rId1"/>
    <sheet name="Info for Dashboard" sheetId="3" r:id="rId2"/>
    <sheet name="Notes" sheetId="2" r:id="rId3"/>
  </sheets>
  <definedNames>
    <definedName name="_xlnm._FilterDatabase" localSheetId="0" hidden="1">'ALL Info'!$A$1:$R$594</definedName>
    <definedName name="_xlnm._FilterDatabase" localSheetId="1" hidden="1">'Info for Dashboard'!$A$1:$T$594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6" i="1" l="1"/>
  <c r="N136" i="1" s="1"/>
  <c r="P136" i="1" s="1"/>
  <c r="Q136" i="1" s="1"/>
  <c r="M551" i="1"/>
  <c r="N551" i="1" s="1"/>
  <c r="P551" i="1" s="1"/>
  <c r="Q551" i="1" s="1"/>
  <c r="M549" i="1"/>
  <c r="N549" i="1" s="1"/>
  <c r="P549" i="1" s="1"/>
  <c r="Q549" i="1" s="1"/>
  <c r="M552" i="1"/>
  <c r="N552" i="1" s="1"/>
  <c r="P552" i="1" s="1"/>
  <c r="Q552" i="1" s="1"/>
  <c r="M548" i="1"/>
  <c r="N548" i="1" s="1"/>
  <c r="P548" i="1" s="1"/>
  <c r="Q548" i="1" s="1"/>
  <c r="M547" i="1"/>
  <c r="N547" i="1" s="1"/>
  <c r="P547" i="1" s="1"/>
  <c r="Q547" i="1" s="1"/>
  <c r="M316" i="1"/>
  <c r="N316" i="1" s="1"/>
  <c r="P316" i="1" s="1"/>
  <c r="Q316" i="1" s="1"/>
  <c r="M594" i="1" l="1"/>
  <c r="N594" i="1" s="1"/>
  <c r="P594" i="1" s="1"/>
  <c r="Q594" i="1" s="1"/>
  <c r="M540" i="1"/>
  <c r="N540" i="1" s="1"/>
  <c r="P540" i="1" s="1"/>
  <c r="Q540" i="1" s="1"/>
  <c r="M492" i="1"/>
  <c r="N492" i="1" s="1"/>
  <c r="P492" i="1" s="1"/>
  <c r="Q492" i="1" s="1"/>
  <c r="M211" i="1"/>
  <c r="N211" i="1" s="1"/>
  <c r="P211" i="1" s="1"/>
  <c r="Q211" i="1" s="1"/>
  <c r="M591" i="1"/>
  <c r="N591" i="1" s="1"/>
  <c r="P591" i="1" s="1"/>
  <c r="Q591" i="1" s="1"/>
  <c r="M537" i="1"/>
  <c r="N537" i="1" s="1"/>
  <c r="P537" i="1" s="1"/>
  <c r="Q537" i="1" s="1"/>
  <c r="M489" i="1"/>
  <c r="N489" i="1" s="1"/>
  <c r="P489" i="1" s="1"/>
  <c r="Q489" i="1" s="1"/>
  <c r="M208" i="1"/>
  <c r="N208" i="1" s="1"/>
  <c r="P208" i="1" s="1"/>
  <c r="Q208" i="1" s="1"/>
  <c r="M593" i="1"/>
  <c r="N593" i="1" s="1"/>
  <c r="P593" i="1" s="1"/>
  <c r="Q593" i="1" s="1"/>
  <c r="M539" i="1"/>
  <c r="N539" i="1" s="1"/>
  <c r="P539" i="1" s="1"/>
  <c r="Q539" i="1" s="1"/>
  <c r="M491" i="1"/>
  <c r="N491" i="1" s="1"/>
  <c r="P491" i="1" s="1"/>
  <c r="Q491" i="1" s="1"/>
  <c r="M210" i="1"/>
  <c r="N210" i="1" s="1"/>
  <c r="P210" i="1" s="1"/>
  <c r="Q210" i="1" s="1"/>
  <c r="M590" i="1"/>
  <c r="N590" i="1" s="1"/>
  <c r="P590" i="1" s="1"/>
  <c r="Q590" i="1" s="1"/>
  <c r="M536" i="1"/>
  <c r="N536" i="1" s="1"/>
  <c r="P536" i="1" s="1"/>
  <c r="Q536" i="1" s="1"/>
  <c r="M488" i="1"/>
  <c r="N488" i="1" s="1"/>
  <c r="P488" i="1" s="1"/>
  <c r="Q488" i="1" s="1"/>
  <c r="M207" i="1"/>
  <c r="N207" i="1" s="1"/>
  <c r="P207" i="1" s="1"/>
  <c r="Q207" i="1" s="1"/>
  <c r="M3" i="1"/>
  <c r="N3" i="1" s="1"/>
  <c r="P3" i="1" s="1"/>
  <c r="Q3" i="1" s="1"/>
  <c r="M592" i="1"/>
  <c r="N592" i="1" s="1"/>
  <c r="P592" i="1" s="1"/>
  <c r="Q592" i="1" s="1"/>
  <c r="M588" i="1"/>
  <c r="N588" i="1" s="1"/>
  <c r="P588" i="1" s="1"/>
  <c r="Q588" i="1" s="1"/>
  <c r="M587" i="1"/>
  <c r="N587" i="1" s="1"/>
  <c r="P587" i="1" s="1"/>
  <c r="Q587" i="1" s="1"/>
  <c r="M586" i="1"/>
  <c r="N586" i="1" s="1"/>
  <c r="P586" i="1" s="1"/>
  <c r="Q586" i="1" s="1"/>
  <c r="M585" i="1"/>
  <c r="N585" i="1" s="1"/>
  <c r="P585" i="1" s="1"/>
  <c r="Q585" i="1" s="1"/>
  <c r="M584" i="1"/>
  <c r="N584" i="1" s="1"/>
  <c r="P584" i="1" s="1"/>
  <c r="Q584" i="1" s="1"/>
  <c r="M582" i="1"/>
  <c r="N582" i="1" s="1"/>
  <c r="P582" i="1" s="1"/>
  <c r="Q582" i="1" s="1"/>
  <c r="M581" i="1"/>
  <c r="N581" i="1" s="1"/>
  <c r="P581" i="1" s="1"/>
  <c r="Q581" i="1" s="1"/>
  <c r="M579" i="1"/>
  <c r="N579" i="1" s="1"/>
  <c r="P579" i="1" s="1"/>
  <c r="Q579" i="1" s="1"/>
  <c r="M580" i="1"/>
  <c r="N580" i="1" s="1"/>
  <c r="P580" i="1" s="1"/>
  <c r="Q580" i="1" s="1"/>
  <c r="M578" i="1"/>
  <c r="N578" i="1" s="1"/>
  <c r="P578" i="1" s="1"/>
  <c r="Q578" i="1" s="1"/>
  <c r="M576" i="1"/>
  <c r="N576" i="1" s="1"/>
  <c r="P576" i="1" s="1"/>
  <c r="Q576" i="1" s="1"/>
  <c r="M575" i="1"/>
  <c r="N575" i="1" s="1"/>
  <c r="P575" i="1" s="1"/>
  <c r="Q575" i="1" s="1"/>
  <c r="M573" i="1"/>
  <c r="N573" i="1" s="1"/>
  <c r="P573" i="1" s="1"/>
  <c r="Q573" i="1" s="1"/>
  <c r="M574" i="1"/>
  <c r="N574" i="1" s="1"/>
  <c r="P574" i="1" s="1"/>
  <c r="Q574" i="1" s="1"/>
  <c r="M572" i="1"/>
  <c r="N572" i="1" s="1"/>
  <c r="P572" i="1" s="1"/>
  <c r="Q572" i="1" s="1"/>
  <c r="M570" i="1"/>
  <c r="N570" i="1" s="1"/>
  <c r="P570" i="1" s="1"/>
  <c r="Q570" i="1" s="1"/>
  <c r="M569" i="1"/>
  <c r="N569" i="1" s="1"/>
  <c r="P569" i="1" s="1"/>
  <c r="Q569" i="1" s="1"/>
  <c r="M567" i="1"/>
  <c r="N567" i="1" s="1"/>
  <c r="P567" i="1" s="1"/>
  <c r="Q567" i="1" s="1"/>
  <c r="M568" i="1"/>
  <c r="N568" i="1" s="1"/>
  <c r="P568" i="1" s="1"/>
  <c r="Q568" i="1" s="1"/>
  <c r="M566" i="1"/>
  <c r="N566" i="1" s="1"/>
  <c r="P566" i="1" s="1"/>
  <c r="Q566" i="1" s="1"/>
  <c r="M558" i="1"/>
  <c r="N558" i="1" s="1"/>
  <c r="P558" i="1" s="1"/>
  <c r="Q558" i="1" s="1"/>
  <c r="M557" i="1"/>
  <c r="N557" i="1" s="1"/>
  <c r="P557" i="1" s="1"/>
  <c r="Q557" i="1" s="1"/>
  <c r="M556" i="1"/>
  <c r="N556" i="1" s="1"/>
  <c r="P556" i="1" s="1"/>
  <c r="Q556" i="1" s="1"/>
  <c r="M555" i="1"/>
  <c r="N555" i="1" s="1"/>
  <c r="P555" i="1" s="1"/>
  <c r="Q555" i="1" s="1"/>
  <c r="M554" i="1"/>
  <c r="N554" i="1" s="1"/>
  <c r="P554" i="1" s="1"/>
  <c r="Q554" i="1" s="1"/>
  <c r="M550" i="1"/>
  <c r="N550" i="1" s="1"/>
  <c r="P550" i="1" s="1"/>
  <c r="Q550" i="1" s="1"/>
  <c r="M546" i="1"/>
  <c r="N546" i="1" s="1"/>
  <c r="P546" i="1" s="1"/>
  <c r="Q546" i="1" s="1"/>
  <c r="M545" i="1"/>
  <c r="N545" i="1" s="1"/>
  <c r="P545" i="1" s="1"/>
  <c r="Q545" i="1" s="1"/>
  <c r="M544" i="1"/>
  <c r="N544" i="1" s="1"/>
  <c r="P544" i="1" s="1"/>
  <c r="Q544" i="1" s="1"/>
  <c r="M543" i="1"/>
  <c r="N543" i="1" s="1"/>
  <c r="P543" i="1" s="1"/>
  <c r="Q543" i="1" s="1"/>
  <c r="M542" i="1"/>
  <c r="N542" i="1" s="1"/>
  <c r="P542" i="1" s="1"/>
  <c r="Q542" i="1" s="1"/>
  <c r="M538" i="1"/>
  <c r="N538" i="1" s="1"/>
  <c r="P538" i="1" s="1"/>
  <c r="Q538" i="1" s="1"/>
  <c r="M534" i="1"/>
  <c r="N534" i="1" s="1"/>
  <c r="P534" i="1" s="1"/>
  <c r="Q534" i="1" s="1"/>
  <c r="M533" i="1"/>
  <c r="N533" i="1" s="1"/>
  <c r="P533" i="1" s="1"/>
  <c r="Q533" i="1" s="1"/>
  <c r="M532" i="1"/>
  <c r="N532" i="1" s="1"/>
  <c r="P532" i="1" s="1"/>
  <c r="Q532" i="1" s="1"/>
  <c r="M531" i="1"/>
  <c r="N531" i="1" s="1"/>
  <c r="P531" i="1" s="1"/>
  <c r="Q531" i="1" s="1"/>
  <c r="M530" i="1"/>
  <c r="N530" i="1" s="1"/>
  <c r="P530" i="1" s="1"/>
  <c r="Q530" i="1" s="1"/>
  <c r="M528" i="1"/>
  <c r="N528" i="1" s="1"/>
  <c r="P528" i="1" s="1"/>
  <c r="Q528" i="1" s="1"/>
  <c r="M527" i="1"/>
  <c r="N527" i="1" s="1"/>
  <c r="P527" i="1" s="1"/>
  <c r="Q527" i="1" s="1"/>
  <c r="M526" i="1"/>
  <c r="N526" i="1" s="1"/>
  <c r="P526" i="1" s="1"/>
  <c r="Q526" i="1" s="1"/>
  <c r="M525" i="1"/>
  <c r="N525" i="1" s="1"/>
  <c r="P525" i="1" s="1"/>
  <c r="Q525" i="1" s="1"/>
  <c r="M524" i="1"/>
  <c r="N524" i="1" s="1"/>
  <c r="P524" i="1" s="1"/>
  <c r="Q524" i="1" s="1"/>
  <c r="M522" i="1"/>
  <c r="N522" i="1" s="1"/>
  <c r="P522" i="1" s="1"/>
  <c r="Q522" i="1" s="1"/>
  <c r="M521" i="1"/>
  <c r="N521" i="1" s="1"/>
  <c r="Q521" i="1" s="1"/>
  <c r="M520" i="1"/>
  <c r="N520" i="1" s="1"/>
  <c r="P520" i="1" s="1"/>
  <c r="Q520" i="1" s="1"/>
  <c r="M519" i="1"/>
  <c r="N519" i="1" s="1"/>
  <c r="P519" i="1" s="1"/>
  <c r="Q519" i="1" s="1"/>
  <c r="M518" i="1"/>
  <c r="N518" i="1" s="1"/>
  <c r="P518" i="1" s="1"/>
  <c r="Q518" i="1" s="1"/>
  <c r="M516" i="1"/>
  <c r="N516" i="1" s="1"/>
  <c r="P516" i="1" s="1"/>
  <c r="Q516" i="1" s="1"/>
  <c r="M515" i="1"/>
  <c r="N515" i="1" s="1"/>
  <c r="P515" i="1" s="1"/>
  <c r="Q515" i="1" s="1"/>
  <c r="M514" i="1"/>
  <c r="N514" i="1" s="1"/>
  <c r="P514" i="1" s="1"/>
  <c r="Q514" i="1" s="1"/>
  <c r="M513" i="1"/>
  <c r="N513" i="1" s="1"/>
  <c r="P513" i="1" s="1"/>
  <c r="Q513" i="1" s="1"/>
  <c r="M512" i="1"/>
  <c r="N512" i="1" s="1"/>
  <c r="P512" i="1" s="1"/>
  <c r="Q512" i="1" s="1"/>
  <c r="M510" i="1"/>
  <c r="N510" i="1" s="1"/>
  <c r="P510" i="1" s="1"/>
  <c r="Q510" i="1" s="1"/>
  <c r="M509" i="1"/>
  <c r="N509" i="1" s="1"/>
  <c r="P509" i="1" s="1"/>
  <c r="Q509" i="1" s="1"/>
  <c r="M508" i="1"/>
  <c r="N508" i="1" s="1"/>
  <c r="P508" i="1" s="1"/>
  <c r="Q508" i="1" s="1"/>
  <c r="M507" i="1"/>
  <c r="N507" i="1" s="1"/>
  <c r="P507" i="1" s="1"/>
  <c r="Q507" i="1" s="1"/>
  <c r="M506" i="1"/>
  <c r="N506" i="1" s="1"/>
  <c r="P506" i="1" s="1"/>
  <c r="Q506" i="1" s="1"/>
  <c r="M504" i="1"/>
  <c r="N504" i="1" s="1"/>
  <c r="P504" i="1" s="1"/>
  <c r="Q504" i="1" s="1"/>
  <c r="M503" i="1"/>
  <c r="N503" i="1" s="1"/>
  <c r="P503" i="1" s="1"/>
  <c r="Q503" i="1" s="1"/>
  <c r="M502" i="1"/>
  <c r="N502" i="1" s="1"/>
  <c r="P502" i="1" s="1"/>
  <c r="Q502" i="1" s="1"/>
  <c r="M501" i="1"/>
  <c r="N501" i="1" s="1"/>
  <c r="P501" i="1" s="1"/>
  <c r="Q501" i="1" s="1"/>
  <c r="M500" i="1"/>
  <c r="N500" i="1" s="1"/>
  <c r="P500" i="1" s="1"/>
  <c r="Q500" i="1" s="1"/>
  <c r="M490" i="1"/>
  <c r="N490" i="1" s="1"/>
  <c r="P490" i="1" s="1"/>
  <c r="Q490" i="1" s="1"/>
  <c r="M486" i="1"/>
  <c r="N486" i="1" s="1"/>
  <c r="P486" i="1" s="1"/>
  <c r="Q486" i="1" s="1"/>
  <c r="M484" i="1"/>
  <c r="N484" i="1" s="1"/>
  <c r="P484" i="1" s="1"/>
  <c r="Q484" i="1" s="1"/>
  <c r="M485" i="1"/>
  <c r="N485" i="1" s="1"/>
  <c r="P485" i="1" s="1"/>
  <c r="Q485" i="1" s="1"/>
  <c r="M483" i="1"/>
  <c r="N483" i="1" s="1"/>
  <c r="P483" i="1" s="1"/>
  <c r="Q483" i="1" s="1"/>
  <c r="M482" i="1"/>
  <c r="N482" i="1" s="1"/>
  <c r="P482" i="1" s="1"/>
  <c r="Q482" i="1" s="1"/>
  <c r="M480" i="1"/>
  <c r="N480" i="1" s="1"/>
  <c r="P480" i="1" s="1"/>
  <c r="Q480" i="1" s="1"/>
  <c r="M478" i="1"/>
  <c r="N478" i="1" s="1"/>
  <c r="P478" i="1" s="1"/>
  <c r="Q478" i="1" s="1"/>
  <c r="M479" i="1"/>
  <c r="N479" i="1" s="1"/>
  <c r="P479" i="1" s="1"/>
  <c r="Q479" i="1" s="1"/>
  <c r="M477" i="1"/>
  <c r="N477" i="1" s="1"/>
  <c r="P477" i="1" s="1"/>
  <c r="Q477" i="1" s="1"/>
  <c r="M476" i="1"/>
  <c r="N476" i="1" s="1"/>
  <c r="P476" i="1" s="1"/>
  <c r="Q476" i="1" s="1"/>
  <c r="M474" i="1"/>
  <c r="N474" i="1" s="1"/>
  <c r="P474" i="1" s="1"/>
  <c r="Q474" i="1" s="1"/>
  <c r="M473" i="1"/>
  <c r="N473" i="1" s="1"/>
  <c r="P473" i="1" s="1"/>
  <c r="Q473" i="1" s="1"/>
  <c r="M472" i="1"/>
  <c r="N472" i="1" s="1"/>
  <c r="P472" i="1" s="1"/>
  <c r="Q472" i="1" s="1"/>
  <c r="M471" i="1"/>
  <c r="N471" i="1" s="1"/>
  <c r="P471" i="1" s="1"/>
  <c r="Q471" i="1" s="1"/>
  <c r="M470" i="1"/>
  <c r="N470" i="1" s="1"/>
  <c r="P470" i="1" s="1"/>
  <c r="Q470" i="1" s="1"/>
  <c r="M468" i="1"/>
  <c r="N468" i="1" s="1"/>
  <c r="P468" i="1" s="1"/>
  <c r="Q468" i="1" s="1"/>
  <c r="M467" i="1"/>
  <c r="N467" i="1" s="1"/>
  <c r="P467" i="1" s="1"/>
  <c r="Q467" i="1" s="1"/>
  <c r="M466" i="1"/>
  <c r="N466" i="1" s="1"/>
  <c r="P466" i="1" s="1"/>
  <c r="Q466" i="1" s="1"/>
  <c r="M465" i="1"/>
  <c r="N465" i="1" s="1"/>
  <c r="P465" i="1" s="1"/>
  <c r="Q465" i="1" s="1"/>
  <c r="M464" i="1"/>
  <c r="N464" i="1" s="1"/>
  <c r="P464" i="1" s="1"/>
  <c r="Q464" i="1" s="1"/>
  <c r="M462" i="1"/>
  <c r="N462" i="1" s="1"/>
  <c r="P462" i="1" s="1"/>
  <c r="Q462" i="1" s="1"/>
  <c r="M461" i="1"/>
  <c r="N461" i="1" s="1"/>
  <c r="P461" i="1" s="1"/>
  <c r="Q461" i="1" s="1"/>
  <c r="M460" i="1"/>
  <c r="N460" i="1" s="1"/>
  <c r="P460" i="1" s="1"/>
  <c r="Q460" i="1" s="1"/>
  <c r="M459" i="1"/>
  <c r="N459" i="1" s="1"/>
  <c r="P459" i="1" s="1"/>
  <c r="Q459" i="1" s="1"/>
  <c r="M458" i="1"/>
  <c r="N458" i="1" s="1"/>
  <c r="P458" i="1" s="1"/>
  <c r="Q458" i="1" s="1"/>
  <c r="M456" i="1"/>
  <c r="N456" i="1" s="1"/>
  <c r="P456" i="1" s="1"/>
  <c r="Q456" i="1" s="1"/>
  <c r="M455" i="1"/>
  <c r="N455" i="1" s="1"/>
  <c r="P455" i="1" s="1"/>
  <c r="Q455" i="1" s="1"/>
  <c r="M454" i="1"/>
  <c r="N454" i="1" s="1"/>
  <c r="P454" i="1" s="1"/>
  <c r="Q454" i="1" s="1"/>
  <c r="M453" i="1"/>
  <c r="N453" i="1" s="1"/>
  <c r="P453" i="1" s="1"/>
  <c r="Q453" i="1" s="1"/>
  <c r="M452" i="1"/>
  <c r="N452" i="1" s="1"/>
  <c r="P452" i="1" s="1"/>
  <c r="Q452" i="1" s="1"/>
  <c r="M450" i="1"/>
  <c r="N450" i="1" s="1"/>
  <c r="P450" i="1" s="1"/>
  <c r="Q450" i="1" s="1"/>
  <c r="M449" i="1"/>
  <c r="N449" i="1" s="1"/>
  <c r="P449" i="1" s="1"/>
  <c r="Q449" i="1" s="1"/>
  <c r="M448" i="1"/>
  <c r="N448" i="1" s="1"/>
  <c r="P448" i="1" s="1"/>
  <c r="Q448" i="1" s="1"/>
  <c r="M447" i="1"/>
  <c r="N447" i="1" s="1"/>
  <c r="P447" i="1" s="1"/>
  <c r="Q447" i="1" s="1"/>
  <c r="M446" i="1"/>
  <c r="N446" i="1" s="1"/>
  <c r="P446" i="1" s="1"/>
  <c r="Q446" i="1" s="1"/>
  <c r="M444" i="1"/>
  <c r="N444" i="1" s="1"/>
  <c r="P444" i="1" s="1"/>
  <c r="Q444" i="1" s="1"/>
  <c r="M443" i="1"/>
  <c r="N443" i="1" s="1"/>
  <c r="P443" i="1" s="1"/>
  <c r="Q443" i="1" s="1"/>
  <c r="M442" i="1"/>
  <c r="N442" i="1" s="1"/>
  <c r="P442" i="1" s="1"/>
  <c r="Q442" i="1" s="1"/>
  <c r="M441" i="1"/>
  <c r="N441" i="1" s="1"/>
  <c r="P441" i="1" s="1"/>
  <c r="Q441" i="1" s="1"/>
  <c r="M440" i="1"/>
  <c r="N440" i="1" s="1"/>
  <c r="P440" i="1" s="1"/>
  <c r="Q440" i="1" s="1"/>
  <c r="M438" i="1"/>
  <c r="N438" i="1" s="1"/>
  <c r="P438" i="1" s="1"/>
  <c r="Q438" i="1" s="1"/>
  <c r="M437" i="1"/>
  <c r="N437" i="1" s="1"/>
  <c r="P437" i="1" s="1"/>
  <c r="Q437" i="1" s="1"/>
  <c r="M436" i="1"/>
  <c r="N436" i="1" s="1"/>
  <c r="P436" i="1" s="1"/>
  <c r="Q436" i="1" s="1"/>
  <c r="M435" i="1"/>
  <c r="N435" i="1" s="1"/>
  <c r="P435" i="1" s="1"/>
  <c r="Q435" i="1" s="1"/>
  <c r="M434" i="1"/>
  <c r="N434" i="1" s="1"/>
  <c r="P434" i="1" s="1"/>
  <c r="Q434" i="1" s="1"/>
  <c r="M432" i="1"/>
  <c r="N432" i="1" s="1"/>
  <c r="P432" i="1" s="1"/>
  <c r="Q432" i="1" s="1"/>
  <c r="M431" i="1"/>
  <c r="N431" i="1" s="1"/>
  <c r="P431" i="1" s="1"/>
  <c r="Q431" i="1" s="1"/>
  <c r="M430" i="1"/>
  <c r="N430" i="1" s="1"/>
  <c r="P430" i="1" s="1"/>
  <c r="Q430" i="1" s="1"/>
  <c r="M429" i="1"/>
  <c r="N429" i="1" s="1"/>
  <c r="P429" i="1" s="1"/>
  <c r="Q429" i="1" s="1"/>
  <c r="M428" i="1"/>
  <c r="N428" i="1" s="1"/>
  <c r="P428" i="1" s="1"/>
  <c r="Q428" i="1" s="1"/>
  <c r="M426" i="1"/>
  <c r="N426" i="1" s="1"/>
  <c r="P426" i="1" s="1"/>
  <c r="Q426" i="1" s="1"/>
  <c r="M425" i="1"/>
  <c r="N425" i="1" s="1"/>
  <c r="P425" i="1" s="1"/>
  <c r="Q425" i="1" s="1"/>
  <c r="M424" i="1"/>
  <c r="N424" i="1" s="1"/>
  <c r="P424" i="1" s="1"/>
  <c r="Q424" i="1" s="1"/>
  <c r="M423" i="1"/>
  <c r="N423" i="1" s="1"/>
  <c r="P423" i="1" s="1"/>
  <c r="Q423" i="1" s="1"/>
  <c r="M422" i="1"/>
  <c r="N422" i="1" s="1"/>
  <c r="P422" i="1" s="1"/>
  <c r="Q422" i="1" s="1"/>
  <c r="M420" i="1"/>
  <c r="N420" i="1" s="1"/>
  <c r="P420" i="1" s="1"/>
  <c r="Q420" i="1" s="1"/>
  <c r="M419" i="1"/>
  <c r="N419" i="1" s="1"/>
  <c r="P419" i="1" s="1"/>
  <c r="Q419" i="1" s="1"/>
  <c r="M418" i="1"/>
  <c r="N418" i="1" s="1"/>
  <c r="P418" i="1" s="1"/>
  <c r="Q418" i="1" s="1"/>
  <c r="M417" i="1"/>
  <c r="N417" i="1" s="1"/>
  <c r="P417" i="1" s="1"/>
  <c r="Q417" i="1" s="1"/>
  <c r="M416" i="1"/>
  <c r="N416" i="1" s="1"/>
  <c r="P416" i="1" s="1"/>
  <c r="Q416" i="1" s="1"/>
  <c r="M414" i="1"/>
  <c r="N414" i="1" s="1"/>
  <c r="P414" i="1" s="1"/>
  <c r="Q414" i="1" s="1"/>
  <c r="M413" i="1"/>
  <c r="N413" i="1" s="1"/>
  <c r="P413" i="1" s="1"/>
  <c r="Q413" i="1" s="1"/>
  <c r="M412" i="1"/>
  <c r="N412" i="1" s="1"/>
  <c r="P412" i="1" s="1"/>
  <c r="Q412" i="1" s="1"/>
  <c r="M411" i="1"/>
  <c r="N411" i="1" s="1"/>
  <c r="P411" i="1" s="1"/>
  <c r="Q411" i="1" s="1"/>
  <c r="M410" i="1"/>
  <c r="N410" i="1" s="1"/>
  <c r="P410" i="1" s="1"/>
  <c r="Q410" i="1" s="1"/>
  <c r="M408" i="1"/>
  <c r="N408" i="1" s="1"/>
  <c r="P408" i="1" s="1"/>
  <c r="Q408" i="1" s="1"/>
  <c r="M407" i="1"/>
  <c r="N407" i="1" s="1"/>
  <c r="P407" i="1" s="1"/>
  <c r="Q407" i="1" s="1"/>
  <c r="M406" i="1"/>
  <c r="N406" i="1" s="1"/>
  <c r="P406" i="1" s="1"/>
  <c r="Q406" i="1" s="1"/>
  <c r="M405" i="1"/>
  <c r="N405" i="1" s="1"/>
  <c r="P405" i="1" s="1"/>
  <c r="Q405" i="1" s="1"/>
  <c r="M404" i="1"/>
  <c r="N404" i="1" s="1"/>
  <c r="P404" i="1" s="1"/>
  <c r="Q404" i="1" s="1"/>
  <c r="M402" i="1"/>
  <c r="N402" i="1" s="1"/>
  <c r="P402" i="1" s="1"/>
  <c r="Q402" i="1" s="1"/>
  <c r="M401" i="1"/>
  <c r="N401" i="1" s="1"/>
  <c r="P401" i="1" s="1"/>
  <c r="Q401" i="1" s="1"/>
  <c r="M400" i="1"/>
  <c r="N400" i="1" s="1"/>
  <c r="P400" i="1" s="1"/>
  <c r="Q400" i="1" s="1"/>
  <c r="M399" i="1"/>
  <c r="N399" i="1" s="1"/>
  <c r="P399" i="1" s="1"/>
  <c r="Q399" i="1" s="1"/>
  <c r="M398" i="1"/>
  <c r="N398" i="1" s="1"/>
  <c r="P398" i="1" s="1"/>
  <c r="Q398" i="1" s="1"/>
  <c r="M396" i="1"/>
  <c r="N396" i="1" s="1"/>
  <c r="P396" i="1" s="1"/>
  <c r="Q396" i="1" s="1"/>
  <c r="M395" i="1"/>
  <c r="N395" i="1" s="1"/>
  <c r="P395" i="1" s="1"/>
  <c r="Q395" i="1" s="1"/>
  <c r="M394" i="1"/>
  <c r="N394" i="1" s="1"/>
  <c r="P394" i="1" s="1"/>
  <c r="Q394" i="1" s="1"/>
  <c r="M393" i="1"/>
  <c r="N393" i="1" s="1"/>
  <c r="P393" i="1" s="1"/>
  <c r="Q393" i="1" s="1"/>
  <c r="M392" i="1"/>
  <c r="N392" i="1" s="1"/>
  <c r="P392" i="1" s="1"/>
  <c r="Q392" i="1" s="1"/>
  <c r="M390" i="1"/>
  <c r="N390" i="1" s="1"/>
  <c r="P390" i="1" s="1"/>
  <c r="Q390" i="1" s="1"/>
  <c r="M389" i="1"/>
  <c r="N389" i="1" s="1"/>
  <c r="P389" i="1" s="1"/>
  <c r="Q389" i="1" s="1"/>
  <c r="M388" i="1"/>
  <c r="N388" i="1" s="1"/>
  <c r="P388" i="1" s="1"/>
  <c r="Q388" i="1" s="1"/>
  <c r="M387" i="1"/>
  <c r="N387" i="1" s="1"/>
  <c r="P387" i="1" s="1"/>
  <c r="Q387" i="1" s="1"/>
  <c r="M386" i="1"/>
  <c r="N386" i="1" s="1"/>
  <c r="P386" i="1" s="1"/>
  <c r="Q386" i="1" s="1"/>
  <c r="M384" i="1"/>
  <c r="N384" i="1" s="1"/>
  <c r="P384" i="1" s="1"/>
  <c r="Q384" i="1" s="1"/>
  <c r="M383" i="1"/>
  <c r="N383" i="1" s="1"/>
  <c r="P383" i="1" s="1"/>
  <c r="Q383" i="1" s="1"/>
  <c r="M382" i="1"/>
  <c r="N382" i="1" s="1"/>
  <c r="P382" i="1" s="1"/>
  <c r="Q382" i="1" s="1"/>
  <c r="M381" i="1"/>
  <c r="N381" i="1" s="1"/>
  <c r="P381" i="1" s="1"/>
  <c r="Q381" i="1" s="1"/>
  <c r="M380" i="1"/>
  <c r="N380" i="1" s="1"/>
  <c r="P380" i="1" s="1"/>
  <c r="Q380" i="1" s="1"/>
  <c r="M378" i="1"/>
  <c r="N378" i="1" s="1"/>
  <c r="P378" i="1" s="1"/>
  <c r="Q378" i="1" s="1"/>
  <c r="M377" i="1"/>
  <c r="N377" i="1" s="1"/>
  <c r="P377" i="1" s="1"/>
  <c r="Q377" i="1" s="1"/>
  <c r="M376" i="1"/>
  <c r="N376" i="1" s="1"/>
  <c r="P376" i="1" s="1"/>
  <c r="Q376" i="1" s="1"/>
  <c r="M375" i="1"/>
  <c r="N375" i="1" s="1"/>
  <c r="P375" i="1" s="1"/>
  <c r="Q375" i="1" s="1"/>
  <c r="M374" i="1"/>
  <c r="N374" i="1" s="1"/>
  <c r="P374" i="1" s="1"/>
  <c r="Q374" i="1" s="1"/>
  <c r="M372" i="1"/>
  <c r="N372" i="1" s="1"/>
  <c r="P372" i="1" s="1"/>
  <c r="Q372" i="1" s="1"/>
  <c r="M371" i="1"/>
  <c r="N371" i="1" s="1"/>
  <c r="P371" i="1" s="1"/>
  <c r="Q371" i="1" s="1"/>
  <c r="M370" i="1"/>
  <c r="N370" i="1" s="1"/>
  <c r="P370" i="1" s="1"/>
  <c r="Q370" i="1" s="1"/>
  <c r="M369" i="1"/>
  <c r="N369" i="1" s="1"/>
  <c r="P369" i="1" s="1"/>
  <c r="Q369" i="1" s="1"/>
  <c r="M368" i="1"/>
  <c r="N368" i="1" s="1"/>
  <c r="P368" i="1" s="1"/>
  <c r="Q368" i="1" s="1"/>
  <c r="M360" i="1"/>
  <c r="N360" i="1" s="1"/>
  <c r="P360" i="1" s="1"/>
  <c r="Q360" i="1" s="1"/>
  <c r="M359" i="1"/>
  <c r="N359" i="1" s="1"/>
  <c r="P359" i="1" s="1"/>
  <c r="Q359" i="1" s="1"/>
  <c r="M358" i="1"/>
  <c r="N358" i="1" s="1"/>
  <c r="P358" i="1" s="1"/>
  <c r="Q358" i="1" s="1"/>
  <c r="M357" i="1"/>
  <c r="N357" i="1" s="1"/>
  <c r="P357" i="1" s="1"/>
  <c r="Q357" i="1" s="1"/>
  <c r="M356" i="1"/>
  <c r="N356" i="1" s="1"/>
  <c r="P356" i="1" s="1"/>
  <c r="Q356" i="1" s="1"/>
  <c r="M354" i="1"/>
  <c r="N354" i="1" s="1"/>
  <c r="P354" i="1" s="1"/>
  <c r="Q354" i="1" s="1"/>
  <c r="M353" i="1"/>
  <c r="N353" i="1" s="1"/>
  <c r="P353" i="1" s="1"/>
  <c r="Q353" i="1" s="1"/>
  <c r="M352" i="1"/>
  <c r="N352" i="1" s="1"/>
  <c r="P352" i="1" s="1"/>
  <c r="Q352" i="1" s="1"/>
  <c r="M351" i="1"/>
  <c r="N351" i="1" s="1"/>
  <c r="P351" i="1" s="1"/>
  <c r="Q351" i="1" s="1"/>
  <c r="M350" i="1"/>
  <c r="N350" i="1" s="1"/>
  <c r="P350" i="1" s="1"/>
  <c r="Q350" i="1" s="1"/>
  <c r="M348" i="1"/>
  <c r="N348" i="1" s="1"/>
  <c r="P348" i="1" s="1"/>
  <c r="Q348" i="1" s="1"/>
  <c r="M347" i="1"/>
  <c r="N347" i="1" s="1"/>
  <c r="P347" i="1" s="1"/>
  <c r="Q347" i="1" s="1"/>
  <c r="M346" i="1"/>
  <c r="N346" i="1" s="1"/>
  <c r="P346" i="1" s="1"/>
  <c r="Q346" i="1" s="1"/>
  <c r="M345" i="1"/>
  <c r="N345" i="1" s="1"/>
  <c r="P345" i="1" s="1"/>
  <c r="Q345" i="1" s="1"/>
  <c r="M344" i="1"/>
  <c r="N344" i="1" s="1"/>
  <c r="P344" i="1" s="1"/>
  <c r="Q344" i="1" s="1"/>
  <c r="M342" i="1"/>
  <c r="N342" i="1" s="1"/>
  <c r="P342" i="1" s="1"/>
  <c r="Q342" i="1" s="1"/>
  <c r="M341" i="1"/>
  <c r="N341" i="1" s="1"/>
  <c r="P341" i="1" s="1"/>
  <c r="Q341" i="1" s="1"/>
  <c r="M340" i="1"/>
  <c r="N340" i="1" s="1"/>
  <c r="P340" i="1" s="1"/>
  <c r="Q340" i="1" s="1"/>
  <c r="M339" i="1"/>
  <c r="N339" i="1" s="1"/>
  <c r="P339" i="1" s="1"/>
  <c r="Q339" i="1" s="1"/>
  <c r="M338" i="1"/>
  <c r="N338" i="1" s="1"/>
  <c r="P338" i="1" s="1"/>
  <c r="Q338" i="1" s="1"/>
  <c r="M336" i="1"/>
  <c r="N336" i="1" s="1"/>
  <c r="P336" i="1" s="1"/>
  <c r="Q336" i="1" s="1"/>
  <c r="M335" i="1"/>
  <c r="N335" i="1" s="1"/>
  <c r="P335" i="1" s="1"/>
  <c r="Q335" i="1" s="1"/>
  <c r="M334" i="1"/>
  <c r="N334" i="1" s="1"/>
  <c r="P334" i="1" s="1"/>
  <c r="Q334" i="1" s="1"/>
  <c r="M333" i="1"/>
  <c r="N333" i="1" s="1"/>
  <c r="P333" i="1" s="1"/>
  <c r="Q333" i="1" s="1"/>
  <c r="M332" i="1"/>
  <c r="N332" i="1" s="1"/>
  <c r="P332" i="1" s="1"/>
  <c r="Q332" i="1" s="1"/>
  <c r="M330" i="1"/>
  <c r="N330" i="1" s="1"/>
  <c r="P330" i="1" s="1"/>
  <c r="Q330" i="1" s="1"/>
  <c r="M329" i="1"/>
  <c r="N329" i="1" s="1"/>
  <c r="P329" i="1" s="1"/>
  <c r="Q329" i="1" s="1"/>
  <c r="M328" i="1"/>
  <c r="N328" i="1" s="1"/>
  <c r="P328" i="1" s="1"/>
  <c r="Q328" i="1" s="1"/>
  <c r="M327" i="1"/>
  <c r="N327" i="1" s="1"/>
  <c r="P327" i="1" s="1"/>
  <c r="Q327" i="1" s="1"/>
  <c r="M326" i="1"/>
  <c r="N326" i="1" s="1"/>
  <c r="P326" i="1" s="1"/>
  <c r="Q326" i="1" s="1"/>
  <c r="M324" i="1"/>
  <c r="N324" i="1" s="1"/>
  <c r="P324" i="1" s="1"/>
  <c r="Q324" i="1" s="1"/>
  <c r="M323" i="1"/>
  <c r="N323" i="1" s="1"/>
  <c r="P323" i="1" s="1"/>
  <c r="Q323" i="1" s="1"/>
  <c r="M322" i="1"/>
  <c r="N322" i="1" s="1"/>
  <c r="P322" i="1" s="1"/>
  <c r="Q322" i="1" s="1"/>
  <c r="M321" i="1"/>
  <c r="N321" i="1" s="1"/>
  <c r="P321" i="1" s="1"/>
  <c r="Q321" i="1" s="1"/>
  <c r="M320" i="1"/>
  <c r="N320" i="1" s="1"/>
  <c r="P320" i="1" s="1"/>
  <c r="Q320" i="1" s="1"/>
  <c r="M564" i="1"/>
  <c r="N564" i="1" s="1"/>
  <c r="P564" i="1" s="1"/>
  <c r="Q564" i="1" s="1"/>
  <c r="M563" i="1"/>
  <c r="N563" i="1" s="1"/>
  <c r="P563" i="1" s="1"/>
  <c r="Q563" i="1" s="1"/>
  <c r="M562" i="1"/>
  <c r="N562" i="1" s="1"/>
  <c r="P562" i="1" s="1"/>
  <c r="Q562" i="1" s="1"/>
  <c r="M561" i="1"/>
  <c r="N561" i="1" s="1"/>
  <c r="P561" i="1" s="1"/>
  <c r="Q561" i="1" s="1"/>
  <c r="M560" i="1"/>
  <c r="N560" i="1" s="1"/>
  <c r="P560" i="1" s="1"/>
  <c r="Q560" i="1" s="1"/>
  <c r="M366" i="1"/>
  <c r="N366" i="1" s="1"/>
  <c r="P366" i="1" s="1"/>
  <c r="Q366" i="1" s="1"/>
  <c r="M365" i="1"/>
  <c r="N365" i="1" s="1"/>
  <c r="P365" i="1" s="1"/>
  <c r="Q365" i="1" s="1"/>
  <c r="M363" i="1"/>
  <c r="N363" i="1" s="1"/>
  <c r="P363" i="1" s="1"/>
  <c r="Q363" i="1" s="1"/>
  <c r="M364" i="1"/>
  <c r="N364" i="1" s="1"/>
  <c r="P364" i="1" s="1"/>
  <c r="Q364" i="1" s="1"/>
  <c r="M362" i="1"/>
  <c r="N362" i="1" s="1"/>
  <c r="P362" i="1" s="1"/>
  <c r="Q362" i="1" s="1"/>
  <c r="M318" i="1"/>
  <c r="N318" i="1" s="1"/>
  <c r="P318" i="1" s="1"/>
  <c r="Q318" i="1" s="1"/>
  <c r="M317" i="1"/>
  <c r="N317" i="1" s="1"/>
  <c r="P317" i="1" s="1"/>
  <c r="Q317" i="1" s="1"/>
  <c r="M315" i="1"/>
  <c r="N315" i="1" s="1"/>
  <c r="P315" i="1" s="1"/>
  <c r="Q315" i="1" s="1"/>
  <c r="M314" i="1"/>
  <c r="N314" i="1" s="1"/>
  <c r="P314" i="1" s="1"/>
  <c r="Q314" i="1" s="1"/>
  <c r="M312" i="1"/>
  <c r="N312" i="1" s="1"/>
  <c r="P312" i="1" s="1"/>
  <c r="Q312" i="1" s="1"/>
  <c r="M311" i="1"/>
  <c r="N311" i="1" s="1"/>
  <c r="P311" i="1" s="1"/>
  <c r="Q311" i="1" s="1"/>
  <c r="M309" i="1"/>
  <c r="N309" i="1" s="1"/>
  <c r="P309" i="1" s="1"/>
  <c r="Q309" i="1" s="1"/>
  <c r="M310" i="1"/>
  <c r="N310" i="1" s="1"/>
  <c r="P310" i="1" s="1"/>
  <c r="Q310" i="1" s="1"/>
  <c r="M308" i="1"/>
  <c r="N308" i="1" s="1"/>
  <c r="P308" i="1" s="1"/>
  <c r="Q308" i="1" s="1"/>
  <c r="M306" i="1"/>
  <c r="N306" i="1" s="1"/>
  <c r="P306" i="1" s="1"/>
  <c r="Q306" i="1" s="1"/>
  <c r="M305" i="1"/>
  <c r="N305" i="1" s="1"/>
  <c r="P305" i="1" s="1"/>
  <c r="Q305" i="1" s="1"/>
  <c r="M303" i="1"/>
  <c r="N303" i="1" s="1"/>
  <c r="P303" i="1" s="1"/>
  <c r="Q303" i="1" s="1"/>
  <c r="M304" i="1"/>
  <c r="N304" i="1" s="1"/>
  <c r="P304" i="1" s="1"/>
  <c r="Q304" i="1" s="1"/>
  <c r="M302" i="1"/>
  <c r="N302" i="1" s="1"/>
  <c r="P302" i="1" s="1"/>
  <c r="Q302" i="1" s="1"/>
  <c r="M300" i="1"/>
  <c r="N300" i="1" s="1"/>
  <c r="P300" i="1" s="1"/>
  <c r="Q300" i="1" s="1"/>
  <c r="M299" i="1"/>
  <c r="N299" i="1" s="1"/>
  <c r="P299" i="1" s="1"/>
  <c r="Q299" i="1" s="1"/>
  <c r="M297" i="1"/>
  <c r="N297" i="1" s="1"/>
  <c r="P297" i="1" s="1"/>
  <c r="Q297" i="1" s="1"/>
  <c r="M298" i="1"/>
  <c r="N298" i="1" s="1"/>
  <c r="P298" i="1" s="1"/>
  <c r="Q298" i="1" s="1"/>
  <c r="M296" i="1"/>
  <c r="N296" i="1" s="1"/>
  <c r="P296" i="1" s="1"/>
  <c r="Q296" i="1" s="1"/>
  <c r="M294" i="1"/>
  <c r="N294" i="1" s="1"/>
  <c r="P294" i="1" s="1"/>
  <c r="Q294" i="1" s="1"/>
  <c r="M293" i="1"/>
  <c r="N293" i="1" s="1"/>
  <c r="P293" i="1" s="1"/>
  <c r="Q293" i="1" s="1"/>
  <c r="M291" i="1"/>
  <c r="N291" i="1" s="1"/>
  <c r="P291" i="1" s="1"/>
  <c r="Q291" i="1" s="1"/>
  <c r="M292" i="1"/>
  <c r="N292" i="1" s="1"/>
  <c r="P292" i="1" s="1"/>
  <c r="Q292" i="1" s="1"/>
  <c r="M290" i="1"/>
  <c r="N290" i="1" s="1"/>
  <c r="P290" i="1" s="1"/>
  <c r="Q290" i="1" s="1"/>
  <c r="M288" i="1"/>
  <c r="N288" i="1" s="1"/>
  <c r="P288" i="1" s="1"/>
  <c r="Q288" i="1" s="1"/>
  <c r="M287" i="1"/>
  <c r="N287" i="1" s="1"/>
  <c r="P287" i="1" s="1"/>
  <c r="Q287" i="1" s="1"/>
  <c r="M285" i="1"/>
  <c r="N285" i="1" s="1"/>
  <c r="P285" i="1" s="1"/>
  <c r="Q285" i="1" s="1"/>
  <c r="M286" i="1"/>
  <c r="N286" i="1" s="1"/>
  <c r="P286" i="1" s="1"/>
  <c r="Q286" i="1" s="1"/>
  <c r="M284" i="1"/>
  <c r="N284" i="1" s="1"/>
  <c r="P284" i="1" s="1"/>
  <c r="Q284" i="1" s="1"/>
  <c r="M282" i="1"/>
  <c r="N282" i="1" s="1"/>
  <c r="P282" i="1" s="1"/>
  <c r="Q282" i="1" s="1"/>
  <c r="M281" i="1"/>
  <c r="N281" i="1" s="1"/>
  <c r="P281" i="1" s="1"/>
  <c r="Q281" i="1" s="1"/>
  <c r="M279" i="1"/>
  <c r="N279" i="1" s="1"/>
  <c r="P279" i="1" s="1"/>
  <c r="Q279" i="1" s="1"/>
  <c r="M280" i="1"/>
  <c r="N280" i="1" s="1"/>
  <c r="P280" i="1" s="1"/>
  <c r="Q280" i="1" s="1"/>
  <c r="M278" i="1"/>
  <c r="N278" i="1" s="1"/>
  <c r="P278" i="1" s="1"/>
  <c r="Q278" i="1" s="1"/>
  <c r="M276" i="1"/>
  <c r="N276" i="1" s="1"/>
  <c r="P276" i="1" s="1"/>
  <c r="Q276" i="1" s="1"/>
  <c r="M275" i="1"/>
  <c r="N275" i="1" s="1"/>
  <c r="P275" i="1" s="1"/>
  <c r="Q275" i="1" s="1"/>
  <c r="M273" i="1"/>
  <c r="N273" i="1" s="1"/>
  <c r="P273" i="1" s="1"/>
  <c r="Q273" i="1" s="1"/>
  <c r="M274" i="1"/>
  <c r="N274" i="1" s="1"/>
  <c r="P274" i="1" s="1"/>
  <c r="Q274" i="1" s="1"/>
  <c r="M272" i="1"/>
  <c r="N272" i="1" s="1"/>
  <c r="P272" i="1" s="1"/>
  <c r="Q272" i="1" s="1"/>
  <c r="M270" i="1"/>
  <c r="N270" i="1" s="1"/>
  <c r="P270" i="1" s="1"/>
  <c r="Q270" i="1" s="1"/>
  <c r="M269" i="1"/>
  <c r="N269" i="1" s="1"/>
  <c r="P269" i="1" s="1"/>
  <c r="Q269" i="1" s="1"/>
  <c r="M267" i="1"/>
  <c r="N267" i="1" s="1"/>
  <c r="P267" i="1" s="1"/>
  <c r="Q267" i="1" s="1"/>
  <c r="M268" i="1"/>
  <c r="N268" i="1" s="1"/>
  <c r="P268" i="1" s="1"/>
  <c r="Q268" i="1" s="1"/>
  <c r="M266" i="1"/>
  <c r="N266" i="1" s="1"/>
  <c r="P266" i="1" s="1"/>
  <c r="Q266" i="1" s="1"/>
  <c r="M264" i="1"/>
  <c r="N264" i="1" s="1"/>
  <c r="P264" i="1" s="1"/>
  <c r="Q264" i="1" s="1"/>
  <c r="M263" i="1"/>
  <c r="N263" i="1" s="1"/>
  <c r="P263" i="1" s="1"/>
  <c r="Q263" i="1" s="1"/>
  <c r="M261" i="1"/>
  <c r="N261" i="1" s="1"/>
  <c r="P261" i="1" s="1"/>
  <c r="Q261" i="1" s="1"/>
  <c r="M262" i="1"/>
  <c r="N262" i="1" s="1"/>
  <c r="P262" i="1" s="1"/>
  <c r="Q262" i="1" s="1"/>
  <c r="M260" i="1"/>
  <c r="N260" i="1" s="1"/>
  <c r="P260" i="1" s="1"/>
  <c r="Q260" i="1" s="1"/>
  <c r="M258" i="1"/>
  <c r="N258" i="1" s="1"/>
  <c r="P258" i="1" s="1"/>
  <c r="Q258" i="1" s="1"/>
  <c r="M257" i="1"/>
  <c r="N257" i="1" s="1"/>
  <c r="P257" i="1" s="1"/>
  <c r="Q257" i="1" s="1"/>
  <c r="M256" i="1"/>
  <c r="N256" i="1" s="1"/>
  <c r="P256" i="1" s="1"/>
  <c r="Q256" i="1" s="1"/>
  <c r="M255" i="1"/>
  <c r="N255" i="1" s="1"/>
  <c r="P255" i="1" s="1"/>
  <c r="Q255" i="1" s="1"/>
  <c r="M253" i="1"/>
  <c r="N253" i="1" s="1"/>
  <c r="P253" i="1" s="1"/>
  <c r="Q253" i="1" s="1"/>
  <c r="M252" i="1"/>
  <c r="N252" i="1" s="1"/>
  <c r="P252" i="1" s="1"/>
  <c r="Q252" i="1" s="1"/>
  <c r="M250" i="1"/>
  <c r="N250" i="1" s="1"/>
  <c r="P250" i="1" s="1"/>
  <c r="Q250" i="1" s="1"/>
  <c r="M251" i="1"/>
  <c r="N251" i="1" s="1"/>
  <c r="P251" i="1" s="1"/>
  <c r="Q251" i="1" s="1"/>
  <c r="M249" i="1"/>
  <c r="N249" i="1" s="1"/>
  <c r="P249" i="1" s="1"/>
  <c r="Q249" i="1" s="1"/>
  <c r="M247" i="1"/>
  <c r="N247" i="1" s="1"/>
  <c r="P247" i="1" s="1"/>
  <c r="Q247" i="1" s="1"/>
  <c r="M246" i="1"/>
  <c r="N246" i="1" s="1"/>
  <c r="P246" i="1" s="1"/>
  <c r="Q246" i="1" s="1"/>
  <c r="M244" i="1"/>
  <c r="N244" i="1" s="1"/>
  <c r="P244" i="1" s="1"/>
  <c r="Q244" i="1" s="1"/>
  <c r="M245" i="1"/>
  <c r="N245" i="1" s="1"/>
  <c r="P245" i="1" s="1"/>
  <c r="Q245" i="1" s="1"/>
  <c r="M243" i="1"/>
  <c r="N243" i="1" s="1"/>
  <c r="P243" i="1" s="1"/>
  <c r="Q243" i="1" s="1"/>
  <c r="M241" i="1"/>
  <c r="N241" i="1" s="1"/>
  <c r="P241" i="1" s="1"/>
  <c r="Q241" i="1" s="1"/>
  <c r="M240" i="1"/>
  <c r="N240" i="1" s="1"/>
  <c r="P240" i="1" s="1"/>
  <c r="Q240" i="1" s="1"/>
  <c r="M238" i="1"/>
  <c r="N238" i="1" s="1"/>
  <c r="P238" i="1" s="1"/>
  <c r="Q238" i="1" s="1"/>
  <c r="M239" i="1"/>
  <c r="N239" i="1" s="1"/>
  <c r="P239" i="1" s="1"/>
  <c r="Q239" i="1" s="1"/>
  <c r="M237" i="1"/>
  <c r="N237" i="1" s="1"/>
  <c r="P237" i="1" s="1"/>
  <c r="Q237" i="1" s="1"/>
  <c r="M235" i="1"/>
  <c r="N235" i="1" s="1"/>
  <c r="P235" i="1" s="1"/>
  <c r="Q235" i="1" s="1"/>
  <c r="M234" i="1"/>
  <c r="N234" i="1" s="1"/>
  <c r="P234" i="1" s="1"/>
  <c r="Q234" i="1" s="1"/>
  <c r="M232" i="1"/>
  <c r="N232" i="1" s="1"/>
  <c r="P232" i="1" s="1"/>
  <c r="Q232" i="1" s="1"/>
  <c r="M233" i="1"/>
  <c r="N233" i="1" s="1"/>
  <c r="P233" i="1" s="1"/>
  <c r="Q233" i="1" s="1"/>
  <c r="M231" i="1"/>
  <c r="N231" i="1" s="1"/>
  <c r="P231" i="1" s="1"/>
  <c r="Q231" i="1" s="1"/>
  <c r="M229" i="1"/>
  <c r="N229" i="1" s="1"/>
  <c r="P229" i="1" s="1"/>
  <c r="Q229" i="1" s="1"/>
  <c r="M228" i="1"/>
  <c r="N228" i="1" s="1"/>
  <c r="P228" i="1" s="1"/>
  <c r="Q228" i="1" s="1"/>
  <c r="M226" i="1"/>
  <c r="N226" i="1" s="1"/>
  <c r="P226" i="1" s="1"/>
  <c r="Q226" i="1" s="1"/>
  <c r="M227" i="1"/>
  <c r="N227" i="1" s="1"/>
  <c r="P227" i="1" s="1"/>
  <c r="Q227" i="1" s="1"/>
  <c r="M225" i="1"/>
  <c r="N225" i="1" s="1"/>
  <c r="P225" i="1" s="1"/>
  <c r="Q225" i="1" s="1"/>
  <c r="M223" i="1"/>
  <c r="N223" i="1" s="1"/>
  <c r="P223" i="1" s="1"/>
  <c r="Q223" i="1" s="1"/>
  <c r="M222" i="1"/>
  <c r="N222" i="1" s="1"/>
  <c r="P222" i="1" s="1"/>
  <c r="Q222" i="1" s="1"/>
  <c r="M220" i="1"/>
  <c r="N220" i="1" s="1"/>
  <c r="P220" i="1" s="1"/>
  <c r="Q220" i="1" s="1"/>
  <c r="M221" i="1"/>
  <c r="N221" i="1" s="1"/>
  <c r="P221" i="1" s="1"/>
  <c r="Q221" i="1" s="1"/>
  <c r="M219" i="1"/>
  <c r="N219" i="1" s="1"/>
  <c r="P219" i="1" s="1"/>
  <c r="Q219" i="1" s="1"/>
  <c r="M217" i="1"/>
  <c r="N217" i="1" s="1"/>
  <c r="P217" i="1" s="1"/>
  <c r="Q217" i="1" s="1"/>
  <c r="M216" i="1"/>
  <c r="N216" i="1" s="1"/>
  <c r="P216" i="1" s="1"/>
  <c r="Q216" i="1" s="1"/>
  <c r="M214" i="1"/>
  <c r="N214" i="1" s="1"/>
  <c r="P214" i="1" s="1"/>
  <c r="Q214" i="1" s="1"/>
  <c r="M215" i="1"/>
  <c r="N215" i="1" s="1"/>
  <c r="P215" i="1" s="1"/>
  <c r="Q215" i="1" s="1"/>
  <c r="M213" i="1"/>
  <c r="N213" i="1" s="1"/>
  <c r="P213" i="1" s="1"/>
  <c r="Q213" i="1" s="1"/>
  <c r="M209" i="1"/>
  <c r="N209" i="1" s="1"/>
  <c r="P209" i="1" s="1"/>
  <c r="Q209" i="1" s="1"/>
  <c r="M205" i="1"/>
  <c r="N205" i="1" s="1"/>
  <c r="P205" i="1" s="1"/>
  <c r="Q205" i="1" s="1"/>
  <c r="M204" i="1"/>
  <c r="N204" i="1" s="1"/>
  <c r="P204" i="1" s="1"/>
  <c r="Q204" i="1" s="1"/>
  <c r="M202" i="1"/>
  <c r="N202" i="1" s="1"/>
  <c r="P202" i="1" s="1"/>
  <c r="Q202" i="1" s="1"/>
  <c r="M203" i="1"/>
  <c r="N203" i="1" s="1"/>
  <c r="P203" i="1" s="1"/>
  <c r="Q203" i="1" s="1"/>
  <c r="M201" i="1"/>
  <c r="N201" i="1" s="1"/>
  <c r="P201" i="1" s="1"/>
  <c r="Q201" i="1" s="1"/>
  <c r="M199" i="1"/>
  <c r="N199" i="1" s="1"/>
  <c r="P199" i="1" s="1"/>
  <c r="Q199" i="1" s="1"/>
  <c r="M198" i="1"/>
  <c r="N198" i="1" s="1"/>
  <c r="P198" i="1" s="1"/>
  <c r="Q198" i="1" s="1"/>
  <c r="M196" i="1"/>
  <c r="N196" i="1" s="1"/>
  <c r="P196" i="1" s="1"/>
  <c r="Q196" i="1" s="1"/>
  <c r="M197" i="1"/>
  <c r="N197" i="1" s="1"/>
  <c r="P197" i="1" s="1"/>
  <c r="Q197" i="1" s="1"/>
  <c r="M195" i="1"/>
  <c r="N195" i="1" s="1"/>
  <c r="P195" i="1" s="1"/>
  <c r="Q195" i="1" s="1"/>
  <c r="M193" i="1"/>
  <c r="N193" i="1" s="1"/>
  <c r="P193" i="1" s="1"/>
  <c r="Q193" i="1" s="1"/>
  <c r="M192" i="1"/>
  <c r="N192" i="1" s="1"/>
  <c r="P192" i="1" s="1"/>
  <c r="Q192" i="1" s="1"/>
  <c r="M190" i="1"/>
  <c r="N190" i="1" s="1"/>
  <c r="P190" i="1" s="1"/>
  <c r="Q190" i="1" s="1"/>
  <c r="M191" i="1"/>
  <c r="N191" i="1" s="1"/>
  <c r="P191" i="1" s="1"/>
  <c r="Q191" i="1" s="1"/>
  <c r="M189" i="1"/>
  <c r="N189" i="1" s="1"/>
  <c r="P189" i="1" s="1"/>
  <c r="Q189" i="1" s="1"/>
  <c r="M187" i="1"/>
  <c r="N187" i="1" s="1"/>
  <c r="P187" i="1" s="1"/>
  <c r="Q187" i="1" s="1"/>
  <c r="M186" i="1"/>
  <c r="N186" i="1" s="1"/>
  <c r="P186" i="1" s="1"/>
  <c r="Q186" i="1" s="1"/>
  <c r="M184" i="1"/>
  <c r="N184" i="1" s="1"/>
  <c r="P184" i="1" s="1"/>
  <c r="Q184" i="1" s="1"/>
  <c r="M185" i="1"/>
  <c r="N185" i="1" s="1"/>
  <c r="P185" i="1" s="1"/>
  <c r="Q185" i="1" s="1"/>
  <c r="M183" i="1"/>
  <c r="N183" i="1" s="1"/>
  <c r="P183" i="1" s="1"/>
  <c r="Q183" i="1" s="1"/>
  <c r="M181" i="1"/>
  <c r="N181" i="1" s="1"/>
  <c r="P181" i="1" s="1"/>
  <c r="Q181" i="1" s="1"/>
  <c r="M180" i="1"/>
  <c r="N180" i="1" s="1"/>
  <c r="P180" i="1" s="1"/>
  <c r="Q180" i="1" s="1"/>
  <c r="M178" i="1"/>
  <c r="N178" i="1" s="1"/>
  <c r="P178" i="1" s="1"/>
  <c r="Q178" i="1" s="1"/>
  <c r="M179" i="1"/>
  <c r="N179" i="1" s="1"/>
  <c r="P179" i="1" s="1"/>
  <c r="Q179" i="1" s="1"/>
  <c r="M177" i="1"/>
  <c r="N177" i="1" s="1"/>
  <c r="P177" i="1" s="1"/>
  <c r="Q177" i="1" s="1"/>
  <c r="M175" i="1"/>
  <c r="N175" i="1" s="1"/>
  <c r="P175" i="1" s="1"/>
  <c r="Q175" i="1" s="1"/>
  <c r="M174" i="1"/>
  <c r="N174" i="1" s="1"/>
  <c r="P174" i="1" s="1"/>
  <c r="Q174" i="1" s="1"/>
  <c r="M172" i="1"/>
  <c r="N172" i="1" s="1"/>
  <c r="P172" i="1" s="1"/>
  <c r="Q172" i="1" s="1"/>
  <c r="M173" i="1"/>
  <c r="N173" i="1" s="1"/>
  <c r="P173" i="1" s="1"/>
  <c r="Q173" i="1" s="1"/>
  <c r="M171" i="1"/>
  <c r="N171" i="1" s="1"/>
  <c r="P171" i="1" s="1"/>
  <c r="Q171" i="1" s="1"/>
  <c r="M169" i="1"/>
  <c r="N169" i="1" s="1"/>
  <c r="P169" i="1" s="1"/>
  <c r="Q169" i="1" s="1"/>
  <c r="M168" i="1"/>
  <c r="N168" i="1" s="1"/>
  <c r="P168" i="1" s="1"/>
  <c r="Q168" i="1" s="1"/>
  <c r="M166" i="1"/>
  <c r="N166" i="1" s="1"/>
  <c r="P166" i="1" s="1"/>
  <c r="Q166" i="1" s="1"/>
  <c r="M167" i="1"/>
  <c r="N167" i="1" s="1"/>
  <c r="P167" i="1" s="1"/>
  <c r="Q167" i="1" s="1"/>
  <c r="M165" i="1"/>
  <c r="N165" i="1" s="1"/>
  <c r="P165" i="1" s="1"/>
  <c r="Q165" i="1" s="1"/>
  <c r="M163" i="1"/>
  <c r="N163" i="1" s="1"/>
  <c r="P163" i="1" s="1"/>
  <c r="Q163" i="1" s="1"/>
  <c r="M162" i="1"/>
  <c r="N162" i="1" s="1"/>
  <c r="P162" i="1" s="1"/>
  <c r="Q162" i="1" s="1"/>
  <c r="M160" i="1"/>
  <c r="N160" i="1" s="1"/>
  <c r="P160" i="1" s="1"/>
  <c r="Q160" i="1" s="1"/>
  <c r="M161" i="1"/>
  <c r="N161" i="1" s="1"/>
  <c r="P161" i="1" s="1"/>
  <c r="Q161" i="1" s="1"/>
  <c r="M159" i="1"/>
  <c r="N159" i="1" s="1"/>
  <c r="P159" i="1" s="1"/>
  <c r="Q159" i="1" s="1"/>
  <c r="M157" i="1"/>
  <c r="N157" i="1" s="1"/>
  <c r="P157" i="1" s="1"/>
  <c r="Q157" i="1" s="1"/>
  <c r="M156" i="1"/>
  <c r="N156" i="1" s="1"/>
  <c r="P156" i="1" s="1"/>
  <c r="Q156" i="1" s="1"/>
  <c r="M154" i="1"/>
  <c r="N154" i="1" s="1"/>
  <c r="P154" i="1" s="1"/>
  <c r="Q154" i="1" s="1"/>
  <c r="M155" i="1"/>
  <c r="N155" i="1" s="1"/>
  <c r="P155" i="1" s="1"/>
  <c r="Q155" i="1" s="1"/>
  <c r="M153" i="1"/>
  <c r="N153" i="1" s="1"/>
  <c r="P153" i="1" s="1"/>
  <c r="Q153" i="1" s="1"/>
  <c r="M151" i="1"/>
  <c r="N151" i="1" s="1"/>
  <c r="P151" i="1" s="1"/>
  <c r="Q151" i="1" s="1"/>
  <c r="M150" i="1"/>
  <c r="N150" i="1" s="1"/>
  <c r="P150" i="1" s="1"/>
  <c r="Q150" i="1" s="1"/>
  <c r="M148" i="1"/>
  <c r="N148" i="1" s="1"/>
  <c r="P148" i="1" s="1"/>
  <c r="Q148" i="1" s="1"/>
  <c r="M149" i="1"/>
  <c r="N149" i="1" s="1"/>
  <c r="P149" i="1" s="1"/>
  <c r="Q149" i="1" s="1"/>
  <c r="M147" i="1"/>
  <c r="N147" i="1" s="1"/>
  <c r="P147" i="1" s="1"/>
  <c r="Q147" i="1" s="1"/>
  <c r="M145" i="1"/>
  <c r="N145" i="1" s="1"/>
  <c r="P145" i="1" s="1"/>
  <c r="Q145" i="1" s="1"/>
  <c r="M144" i="1"/>
  <c r="N144" i="1" s="1"/>
  <c r="P144" i="1" s="1"/>
  <c r="Q144" i="1" s="1"/>
  <c r="M142" i="1"/>
  <c r="N142" i="1" s="1"/>
  <c r="P142" i="1" s="1"/>
  <c r="Q142" i="1" s="1"/>
  <c r="M143" i="1"/>
  <c r="N143" i="1" s="1"/>
  <c r="P143" i="1" s="1"/>
  <c r="Q143" i="1" s="1"/>
  <c r="M141" i="1"/>
  <c r="N141" i="1" s="1"/>
  <c r="P141" i="1" s="1"/>
  <c r="Q141" i="1" s="1"/>
  <c r="M139" i="1"/>
  <c r="N139" i="1" s="1"/>
  <c r="P139" i="1" s="1"/>
  <c r="Q139" i="1" s="1"/>
  <c r="M138" i="1"/>
  <c r="N138" i="1" s="1"/>
  <c r="P138" i="1" s="1"/>
  <c r="Q138" i="1" s="1"/>
  <c r="M137" i="1"/>
  <c r="N137" i="1" s="1"/>
  <c r="P137" i="1" s="1"/>
  <c r="Q137" i="1" s="1"/>
  <c r="M135" i="1"/>
  <c r="N135" i="1" s="1"/>
  <c r="P135" i="1" s="1"/>
  <c r="Q135" i="1" s="1"/>
  <c r="M133" i="1"/>
  <c r="N133" i="1" s="1"/>
  <c r="P133" i="1" s="1"/>
  <c r="Q133" i="1" s="1"/>
  <c r="M132" i="1"/>
  <c r="N132" i="1" s="1"/>
  <c r="P132" i="1" s="1"/>
  <c r="Q132" i="1" s="1"/>
  <c r="M130" i="1"/>
  <c r="N130" i="1" s="1"/>
  <c r="P130" i="1" s="1"/>
  <c r="Q130" i="1" s="1"/>
  <c r="M131" i="1"/>
  <c r="N131" i="1" s="1"/>
  <c r="P131" i="1" s="1"/>
  <c r="Q131" i="1" s="1"/>
  <c r="M129" i="1"/>
  <c r="N129" i="1" s="1"/>
  <c r="P129" i="1" s="1"/>
  <c r="Q129" i="1" s="1"/>
  <c r="M498" i="1"/>
  <c r="N498" i="1" s="1"/>
  <c r="P498" i="1" s="1"/>
  <c r="Q498" i="1" s="1"/>
  <c r="M497" i="1"/>
  <c r="N497" i="1" s="1"/>
  <c r="P497" i="1" s="1"/>
  <c r="Q497" i="1" s="1"/>
  <c r="M495" i="1"/>
  <c r="N495" i="1" s="1"/>
  <c r="P495" i="1" s="1"/>
  <c r="Q495" i="1" s="1"/>
  <c r="M496" i="1"/>
  <c r="N496" i="1" s="1"/>
  <c r="P496" i="1" s="1"/>
  <c r="Q496" i="1" s="1"/>
  <c r="M494" i="1"/>
  <c r="N494" i="1" s="1"/>
  <c r="P494" i="1" s="1"/>
  <c r="Q494" i="1" s="1"/>
  <c r="M127" i="1"/>
  <c r="N127" i="1" s="1"/>
  <c r="P127" i="1" s="1"/>
  <c r="Q127" i="1" s="1"/>
  <c r="M126" i="1"/>
  <c r="N126" i="1" s="1"/>
  <c r="P126" i="1" s="1"/>
  <c r="Q126" i="1" s="1"/>
  <c r="M124" i="1"/>
  <c r="N124" i="1" s="1"/>
  <c r="P124" i="1" s="1"/>
  <c r="Q124" i="1" s="1"/>
  <c r="M125" i="1"/>
  <c r="N125" i="1" s="1"/>
  <c r="P125" i="1" s="1"/>
  <c r="Q125" i="1" s="1"/>
  <c r="M123" i="1"/>
  <c r="N123" i="1" s="1"/>
  <c r="P123" i="1" s="1"/>
  <c r="Q123" i="1" s="1"/>
  <c r="M121" i="1"/>
  <c r="N121" i="1" s="1"/>
  <c r="P121" i="1" s="1"/>
  <c r="Q121" i="1" s="1"/>
  <c r="M120" i="1"/>
  <c r="N120" i="1" s="1"/>
  <c r="P120" i="1" s="1"/>
  <c r="Q120" i="1" s="1"/>
  <c r="M118" i="1"/>
  <c r="N118" i="1" s="1"/>
  <c r="P118" i="1" s="1"/>
  <c r="Q118" i="1" s="1"/>
  <c r="M119" i="1"/>
  <c r="N119" i="1" s="1"/>
  <c r="P119" i="1" s="1"/>
  <c r="Q119" i="1" s="1"/>
  <c r="M117" i="1"/>
  <c r="N117" i="1" s="1"/>
  <c r="P117" i="1" s="1"/>
  <c r="Q117" i="1" s="1"/>
  <c r="M115" i="1"/>
  <c r="N115" i="1" s="1"/>
  <c r="P115" i="1" s="1"/>
  <c r="Q115" i="1" s="1"/>
  <c r="M114" i="1"/>
  <c r="N114" i="1" s="1"/>
  <c r="P114" i="1" s="1"/>
  <c r="Q114" i="1" s="1"/>
  <c r="M112" i="1"/>
  <c r="N112" i="1" s="1"/>
  <c r="P112" i="1" s="1"/>
  <c r="Q112" i="1" s="1"/>
  <c r="M113" i="1"/>
  <c r="N113" i="1" s="1"/>
  <c r="P113" i="1" s="1"/>
  <c r="Q113" i="1" s="1"/>
  <c r="M111" i="1"/>
  <c r="N111" i="1" s="1"/>
  <c r="P111" i="1" s="1"/>
  <c r="Q111" i="1" s="1"/>
  <c r="M109" i="1"/>
  <c r="N109" i="1" s="1"/>
  <c r="P109" i="1" s="1"/>
  <c r="Q109" i="1" s="1"/>
  <c r="M108" i="1"/>
  <c r="N108" i="1" s="1"/>
  <c r="P108" i="1" s="1"/>
  <c r="Q108" i="1" s="1"/>
  <c r="M106" i="1"/>
  <c r="N106" i="1" s="1"/>
  <c r="P106" i="1" s="1"/>
  <c r="Q106" i="1" s="1"/>
  <c r="M107" i="1"/>
  <c r="N107" i="1" s="1"/>
  <c r="P107" i="1" s="1"/>
  <c r="Q107" i="1" s="1"/>
  <c r="M105" i="1"/>
  <c r="N105" i="1" s="1"/>
  <c r="P105" i="1" s="1"/>
  <c r="Q105" i="1" s="1"/>
  <c r="M103" i="1"/>
  <c r="N103" i="1" s="1"/>
  <c r="P103" i="1" s="1"/>
  <c r="Q103" i="1" s="1"/>
  <c r="M102" i="1"/>
  <c r="N102" i="1" s="1"/>
  <c r="P102" i="1" s="1"/>
  <c r="Q102" i="1" s="1"/>
  <c r="M100" i="1"/>
  <c r="N100" i="1" s="1"/>
  <c r="P100" i="1" s="1"/>
  <c r="Q100" i="1" s="1"/>
  <c r="M101" i="1"/>
  <c r="N101" i="1" s="1"/>
  <c r="P101" i="1" s="1"/>
  <c r="Q101" i="1" s="1"/>
  <c r="M99" i="1"/>
  <c r="N99" i="1" s="1"/>
  <c r="P99" i="1" s="1"/>
  <c r="Q99" i="1" s="1"/>
  <c r="M97" i="1"/>
  <c r="N97" i="1" s="1"/>
  <c r="P97" i="1" s="1"/>
  <c r="Q97" i="1" s="1"/>
  <c r="M96" i="1"/>
  <c r="N96" i="1" s="1"/>
  <c r="P96" i="1" s="1"/>
  <c r="Q96" i="1" s="1"/>
  <c r="M94" i="1"/>
  <c r="N94" i="1" s="1"/>
  <c r="P94" i="1" s="1"/>
  <c r="Q94" i="1" s="1"/>
  <c r="M95" i="1"/>
  <c r="N95" i="1" s="1"/>
  <c r="P95" i="1" s="1"/>
  <c r="Q95" i="1" s="1"/>
  <c r="M93" i="1"/>
  <c r="N93" i="1" s="1"/>
  <c r="P93" i="1" s="1"/>
  <c r="Q93" i="1" s="1"/>
  <c r="M91" i="1"/>
  <c r="N91" i="1" s="1"/>
  <c r="P91" i="1" s="1"/>
  <c r="Q91" i="1" s="1"/>
  <c r="M90" i="1"/>
  <c r="N90" i="1" s="1"/>
  <c r="P90" i="1" s="1"/>
  <c r="Q90" i="1" s="1"/>
  <c r="M88" i="1"/>
  <c r="N88" i="1" s="1"/>
  <c r="P88" i="1" s="1"/>
  <c r="Q88" i="1" s="1"/>
  <c r="M89" i="1"/>
  <c r="N89" i="1" s="1"/>
  <c r="P89" i="1" s="1"/>
  <c r="Q89" i="1" s="1"/>
  <c r="M87" i="1"/>
  <c r="N87" i="1" s="1"/>
  <c r="P87" i="1" s="1"/>
  <c r="Q87" i="1" s="1"/>
  <c r="M85" i="1"/>
  <c r="N85" i="1" s="1"/>
  <c r="P85" i="1" s="1"/>
  <c r="Q85" i="1" s="1"/>
  <c r="M84" i="1"/>
  <c r="N84" i="1" s="1"/>
  <c r="P84" i="1" s="1"/>
  <c r="Q84" i="1" s="1"/>
  <c r="M82" i="1"/>
  <c r="N82" i="1" s="1"/>
  <c r="P82" i="1" s="1"/>
  <c r="Q82" i="1" s="1"/>
  <c r="M83" i="1"/>
  <c r="N83" i="1" s="1"/>
  <c r="P83" i="1" s="1"/>
  <c r="Q83" i="1" s="1"/>
  <c r="M81" i="1"/>
  <c r="N81" i="1" s="1"/>
  <c r="P81" i="1" s="1"/>
  <c r="Q81" i="1" s="1"/>
  <c r="M79" i="1"/>
  <c r="N79" i="1" s="1"/>
  <c r="P79" i="1" s="1"/>
  <c r="Q79" i="1" s="1"/>
  <c r="M78" i="1"/>
  <c r="N78" i="1" s="1"/>
  <c r="P78" i="1" s="1"/>
  <c r="Q78" i="1" s="1"/>
  <c r="M76" i="1"/>
  <c r="N76" i="1" s="1"/>
  <c r="P76" i="1" s="1"/>
  <c r="Q76" i="1" s="1"/>
  <c r="M77" i="1"/>
  <c r="N77" i="1" s="1"/>
  <c r="P77" i="1" s="1"/>
  <c r="Q77" i="1" s="1"/>
  <c r="M75" i="1"/>
  <c r="N75" i="1" s="1"/>
  <c r="P75" i="1" s="1"/>
  <c r="Q75" i="1" s="1"/>
  <c r="M73" i="1"/>
  <c r="N73" i="1" s="1"/>
  <c r="P73" i="1" s="1"/>
  <c r="Q73" i="1" s="1"/>
  <c r="M72" i="1"/>
  <c r="N72" i="1" s="1"/>
  <c r="P72" i="1" s="1"/>
  <c r="Q72" i="1" s="1"/>
  <c r="M70" i="1"/>
  <c r="N70" i="1" s="1"/>
  <c r="P70" i="1" s="1"/>
  <c r="Q70" i="1" s="1"/>
  <c r="M71" i="1"/>
  <c r="N71" i="1" s="1"/>
  <c r="P71" i="1" s="1"/>
  <c r="Q71" i="1" s="1"/>
  <c r="M69" i="1"/>
  <c r="N69" i="1" s="1"/>
  <c r="P69" i="1" s="1"/>
  <c r="Q69" i="1" s="1"/>
  <c r="M67" i="1"/>
  <c r="N67" i="1" s="1"/>
  <c r="P67" i="1" s="1"/>
  <c r="Q67" i="1" s="1"/>
  <c r="M66" i="1"/>
  <c r="N66" i="1" s="1"/>
  <c r="P66" i="1" s="1"/>
  <c r="Q66" i="1" s="1"/>
  <c r="M64" i="1"/>
  <c r="N64" i="1" s="1"/>
  <c r="P64" i="1" s="1"/>
  <c r="Q64" i="1" s="1"/>
  <c r="M65" i="1"/>
  <c r="N65" i="1" s="1"/>
  <c r="P65" i="1" s="1"/>
  <c r="Q65" i="1" s="1"/>
  <c r="M63" i="1"/>
  <c r="N63" i="1" s="1"/>
  <c r="P63" i="1" s="1"/>
  <c r="Q63" i="1" s="1"/>
  <c r="M61" i="1"/>
  <c r="N61" i="1" s="1"/>
  <c r="P61" i="1" s="1"/>
  <c r="Q61" i="1" s="1"/>
  <c r="M60" i="1"/>
  <c r="N60" i="1" s="1"/>
  <c r="P60" i="1" s="1"/>
  <c r="Q60" i="1" s="1"/>
  <c r="M58" i="1"/>
  <c r="N58" i="1" s="1"/>
  <c r="P58" i="1" s="1"/>
  <c r="Q58" i="1" s="1"/>
  <c r="M59" i="1"/>
  <c r="N59" i="1" s="1"/>
  <c r="P59" i="1" s="1"/>
  <c r="Q59" i="1" s="1"/>
  <c r="M57" i="1"/>
  <c r="N57" i="1" s="1"/>
  <c r="P57" i="1" s="1"/>
  <c r="Q57" i="1" s="1"/>
  <c r="M55" i="1"/>
  <c r="N55" i="1" s="1"/>
  <c r="P55" i="1" s="1"/>
  <c r="Q55" i="1" s="1"/>
  <c r="M54" i="1"/>
  <c r="N54" i="1" s="1"/>
  <c r="P54" i="1" s="1"/>
  <c r="Q54" i="1" s="1"/>
  <c r="M52" i="1"/>
  <c r="N52" i="1" s="1"/>
  <c r="P52" i="1" s="1"/>
  <c r="Q52" i="1" s="1"/>
  <c r="M53" i="1"/>
  <c r="N53" i="1" s="1"/>
  <c r="P53" i="1" s="1"/>
  <c r="Q53" i="1" s="1"/>
  <c r="M51" i="1"/>
  <c r="N51" i="1" s="1"/>
  <c r="P51" i="1" s="1"/>
  <c r="Q51" i="1" s="1"/>
  <c r="M49" i="1"/>
  <c r="N49" i="1" s="1"/>
  <c r="P49" i="1" s="1"/>
  <c r="Q49" i="1" s="1"/>
  <c r="M48" i="1"/>
  <c r="N48" i="1" s="1"/>
  <c r="P48" i="1" s="1"/>
  <c r="Q48" i="1" s="1"/>
  <c r="M46" i="1"/>
  <c r="N46" i="1" s="1"/>
  <c r="P46" i="1" s="1"/>
  <c r="Q46" i="1" s="1"/>
  <c r="M47" i="1"/>
  <c r="N47" i="1" s="1"/>
  <c r="P47" i="1" s="1"/>
  <c r="Q47" i="1" s="1"/>
  <c r="M45" i="1"/>
  <c r="N45" i="1" s="1"/>
  <c r="P45" i="1" s="1"/>
  <c r="Q45" i="1" s="1"/>
  <c r="M43" i="1"/>
  <c r="N43" i="1" s="1"/>
  <c r="P43" i="1" s="1"/>
  <c r="Q43" i="1" s="1"/>
  <c r="M42" i="1"/>
  <c r="N42" i="1" s="1"/>
  <c r="P42" i="1" s="1"/>
  <c r="Q42" i="1" s="1"/>
  <c r="M40" i="1"/>
  <c r="N40" i="1" s="1"/>
  <c r="P40" i="1" s="1"/>
  <c r="Q40" i="1" s="1"/>
  <c r="M41" i="1"/>
  <c r="N41" i="1" s="1"/>
  <c r="P41" i="1" s="1"/>
  <c r="Q41" i="1" s="1"/>
  <c r="M39" i="1"/>
  <c r="N39" i="1" s="1"/>
  <c r="P39" i="1" s="1"/>
  <c r="Q39" i="1" s="1"/>
  <c r="M37" i="1"/>
  <c r="N37" i="1" s="1"/>
  <c r="P37" i="1" s="1"/>
  <c r="Q37" i="1" s="1"/>
  <c r="M36" i="1"/>
  <c r="N36" i="1" s="1"/>
  <c r="P36" i="1" s="1"/>
  <c r="Q36" i="1" s="1"/>
  <c r="M34" i="1"/>
  <c r="N34" i="1" s="1"/>
  <c r="P34" i="1" s="1"/>
  <c r="Q34" i="1" s="1"/>
  <c r="M35" i="1"/>
  <c r="N35" i="1" s="1"/>
  <c r="P35" i="1" s="1"/>
  <c r="Q35" i="1" s="1"/>
  <c r="M33" i="1"/>
  <c r="N33" i="1" s="1"/>
  <c r="P33" i="1" s="1"/>
  <c r="Q33" i="1" s="1"/>
  <c r="M31" i="1"/>
  <c r="N31" i="1" s="1"/>
  <c r="P31" i="1" s="1"/>
  <c r="Q31" i="1" s="1"/>
  <c r="M30" i="1"/>
  <c r="N30" i="1" s="1"/>
  <c r="P30" i="1" s="1"/>
  <c r="Q30" i="1" s="1"/>
  <c r="M28" i="1"/>
  <c r="N28" i="1" s="1"/>
  <c r="P28" i="1" s="1"/>
  <c r="Q28" i="1" s="1"/>
  <c r="M29" i="1"/>
  <c r="N29" i="1" s="1"/>
  <c r="P29" i="1" s="1"/>
  <c r="Q29" i="1" s="1"/>
  <c r="M27" i="1"/>
  <c r="N27" i="1" s="1"/>
  <c r="P27" i="1" s="1"/>
  <c r="Q27" i="1" s="1"/>
  <c r="M25" i="1"/>
  <c r="N25" i="1" s="1"/>
  <c r="P25" i="1" s="1"/>
  <c r="Q25" i="1" s="1"/>
  <c r="M24" i="1"/>
  <c r="N24" i="1" s="1"/>
  <c r="P24" i="1" s="1"/>
  <c r="Q24" i="1" s="1"/>
  <c r="M22" i="1"/>
  <c r="N22" i="1" s="1"/>
  <c r="P22" i="1" s="1"/>
  <c r="Q22" i="1" s="1"/>
  <c r="M23" i="1"/>
  <c r="N23" i="1" s="1"/>
  <c r="P23" i="1" s="1"/>
  <c r="Q23" i="1" s="1"/>
  <c r="M21" i="1"/>
  <c r="N21" i="1" s="1"/>
  <c r="P21" i="1" s="1"/>
  <c r="Q21" i="1" s="1"/>
  <c r="M19" i="1"/>
  <c r="N19" i="1" s="1"/>
  <c r="P19" i="1" s="1"/>
  <c r="Q19" i="1" s="1"/>
  <c r="M18" i="1"/>
  <c r="N18" i="1" s="1"/>
  <c r="P18" i="1" s="1"/>
  <c r="Q18" i="1" s="1"/>
  <c r="M16" i="1"/>
  <c r="N16" i="1" s="1"/>
  <c r="P16" i="1" s="1"/>
  <c r="Q16" i="1" s="1"/>
  <c r="M17" i="1"/>
  <c r="N17" i="1" s="1"/>
  <c r="P17" i="1" s="1"/>
  <c r="Q17" i="1" s="1"/>
  <c r="M15" i="1"/>
  <c r="N15" i="1" s="1"/>
  <c r="P15" i="1" s="1"/>
  <c r="Q15" i="1" s="1"/>
  <c r="M13" i="1"/>
  <c r="N13" i="1" s="1"/>
  <c r="P13" i="1" s="1"/>
  <c r="Q13" i="1" s="1"/>
  <c r="M12" i="1"/>
  <c r="N12" i="1" s="1"/>
  <c r="P12" i="1" s="1"/>
  <c r="Q12" i="1" s="1"/>
  <c r="M10" i="1"/>
  <c r="N10" i="1" s="1"/>
  <c r="P10" i="1" s="1"/>
  <c r="Q10" i="1" s="1"/>
  <c r="M11" i="1"/>
  <c r="N11" i="1" s="1"/>
  <c r="P11" i="1" s="1"/>
  <c r="Q11" i="1" s="1"/>
  <c r="M9" i="1"/>
  <c r="N9" i="1" s="1"/>
  <c r="P9" i="1" s="1"/>
  <c r="Q9" i="1" s="1"/>
  <c r="M7" i="1"/>
  <c r="N7" i="1" s="1"/>
  <c r="P7" i="1" s="1"/>
  <c r="Q7" i="1" s="1"/>
  <c r="M6" i="1"/>
  <c r="N6" i="1" s="1"/>
  <c r="P6" i="1" s="1"/>
  <c r="Q6" i="1" s="1"/>
  <c r="M4" i="1"/>
  <c r="N4" i="1" s="1"/>
  <c r="P4" i="1" s="1"/>
  <c r="Q4" i="1" s="1"/>
  <c r="M5" i="1"/>
  <c r="N5" i="1" s="1"/>
  <c r="P5" i="1" s="1"/>
  <c r="Q5" i="1" s="1"/>
  <c r="M589" i="1"/>
  <c r="N589" i="1" s="1"/>
  <c r="P589" i="1" s="1"/>
  <c r="Q589" i="1" s="1"/>
  <c r="M535" i="1"/>
  <c r="N535" i="1" s="1"/>
  <c r="P535" i="1" s="1"/>
  <c r="Q535" i="1" s="1"/>
  <c r="M487" i="1"/>
  <c r="N487" i="1" s="1"/>
  <c r="P487" i="1" s="1"/>
  <c r="Q487" i="1" s="1"/>
  <c r="M206" i="1"/>
  <c r="N206" i="1" s="1"/>
  <c r="P206" i="1" s="1"/>
  <c r="Q206" i="1" s="1"/>
  <c r="M583" i="1"/>
  <c r="N583" i="1" s="1"/>
  <c r="P583" i="1" s="1"/>
  <c r="Q583" i="1" s="1"/>
  <c r="M577" i="1"/>
  <c r="N577" i="1" s="1"/>
  <c r="P577" i="1" s="1"/>
  <c r="Q577" i="1" s="1"/>
  <c r="M571" i="1"/>
  <c r="N571" i="1" s="1"/>
  <c r="P571" i="1" s="1"/>
  <c r="Q571" i="1" s="1"/>
  <c r="M565" i="1"/>
  <c r="N565" i="1" s="1"/>
  <c r="P565" i="1" s="1"/>
  <c r="Q565" i="1" s="1"/>
  <c r="M553" i="1"/>
  <c r="N553" i="1" s="1"/>
  <c r="P553" i="1" s="1"/>
  <c r="Q553" i="1" s="1"/>
  <c r="M541" i="1"/>
  <c r="N541" i="1" s="1"/>
  <c r="P541" i="1" s="1"/>
  <c r="Q541" i="1" s="1"/>
  <c r="M529" i="1"/>
  <c r="N529" i="1" s="1"/>
  <c r="P529" i="1" s="1"/>
  <c r="Q529" i="1" s="1"/>
  <c r="M523" i="1"/>
  <c r="N523" i="1" s="1"/>
  <c r="P523" i="1" s="1"/>
  <c r="Q523" i="1" s="1"/>
  <c r="M517" i="1"/>
  <c r="N517" i="1" s="1"/>
  <c r="P517" i="1" s="1"/>
  <c r="Q517" i="1" s="1"/>
  <c r="M511" i="1"/>
  <c r="N511" i="1" s="1"/>
  <c r="P511" i="1" s="1"/>
  <c r="Q511" i="1" s="1"/>
  <c r="M505" i="1"/>
  <c r="N505" i="1" s="1"/>
  <c r="P505" i="1" s="1"/>
  <c r="Q505" i="1" s="1"/>
  <c r="M499" i="1"/>
  <c r="N499" i="1" s="1"/>
  <c r="P499" i="1" s="1"/>
  <c r="Q499" i="1" s="1"/>
  <c r="M481" i="1"/>
  <c r="N481" i="1" s="1"/>
  <c r="P481" i="1" s="1"/>
  <c r="Q481" i="1" s="1"/>
  <c r="M475" i="1"/>
  <c r="N475" i="1" s="1"/>
  <c r="P475" i="1" s="1"/>
  <c r="Q475" i="1" s="1"/>
  <c r="M469" i="1"/>
  <c r="N469" i="1" s="1"/>
  <c r="P469" i="1" s="1"/>
  <c r="Q469" i="1" s="1"/>
  <c r="M463" i="1"/>
  <c r="N463" i="1" s="1"/>
  <c r="P463" i="1" s="1"/>
  <c r="Q463" i="1" s="1"/>
  <c r="M457" i="1"/>
  <c r="N457" i="1" s="1"/>
  <c r="P457" i="1" s="1"/>
  <c r="Q457" i="1" s="1"/>
  <c r="M451" i="1"/>
  <c r="N451" i="1" s="1"/>
  <c r="P451" i="1" s="1"/>
  <c r="Q451" i="1" s="1"/>
  <c r="M445" i="1"/>
  <c r="N445" i="1" s="1"/>
  <c r="P445" i="1" s="1"/>
  <c r="Q445" i="1" s="1"/>
  <c r="M439" i="1"/>
  <c r="N439" i="1" s="1"/>
  <c r="P439" i="1" s="1"/>
  <c r="Q439" i="1" s="1"/>
  <c r="M433" i="1"/>
  <c r="N433" i="1" s="1"/>
  <c r="P433" i="1" s="1"/>
  <c r="Q433" i="1" s="1"/>
  <c r="M427" i="1"/>
  <c r="N427" i="1" s="1"/>
  <c r="P427" i="1" s="1"/>
  <c r="Q427" i="1" s="1"/>
  <c r="M421" i="1"/>
  <c r="N421" i="1" s="1"/>
  <c r="P421" i="1" s="1"/>
  <c r="Q421" i="1" s="1"/>
  <c r="M415" i="1"/>
  <c r="N415" i="1" s="1"/>
  <c r="P415" i="1" s="1"/>
  <c r="Q415" i="1" s="1"/>
  <c r="M409" i="1"/>
  <c r="N409" i="1" s="1"/>
  <c r="P409" i="1" s="1"/>
  <c r="Q409" i="1" s="1"/>
  <c r="M403" i="1"/>
  <c r="N403" i="1" s="1"/>
  <c r="P403" i="1" s="1"/>
  <c r="Q403" i="1" s="1"/>
  <c r="M397" i="1"/>
  <c r="N397" i="1" s="1"/>
  <c r="P397" i="1" s="1"/>
  <c r="Q397" i="1" s="1"/>
  <c r="M391" i="1"/>
  <c r="N391" i="1" s="1"/>
  <c r="P391" i="1" s="1"/>
  <c r="Q391" i="1" s="1"/>
  <c r="M385" i="1"/>
  <c r="N385" i="1" s="1"/>
  <c r="P385" i="1" s="1"/>
  <c r="Q385" i="1" s="1"/>
  <c r="M379" i="1"/>
  <c r="N379" i="1" s="1"/>
  <c r="P379" i="1" s="1"/>
  <c r="Q379" i="1" s="1"/>
  <c r="M373" i="1"/>
  <c r="N373" i="1" s="1"/>
  <c r="P373" i="1" s="1"/>
  <c r="Q373" i="1" s="1"/>
  <c r="M367" i="1"/>
  <c r="N367" i="1" s="1"/>
  <c r="P367" i="1" s="1"/>
  <c r="Q367" i="1" s="1"/>
  <c r="M355" i="1"/>
  <c r="N355" i="1" s="1"/>
  <c r="P355" i="1" s="1"/>
  <c r="Q355" i="1" s="1"/>
  <c r="M349" i="1"/>
  <c r="N349" i="1" s="1"/>
  <c r="P349" i="1" s="1"/>
  <c r="Q349" i="1" s="1"/>
  <c r="M343" i="1"/>
  <c r="N343" i="1" s="1"/>
  <c r="P343" i="1" s="1"/>
  <c r="Q343" i="1" s="1"/>
  <c r="M337" i="1"/>
  <c r="N337" i="1" s="1"/>
  <c r="P337" i="1" s="1"/>
  <c r="Q337" i="1" s="1"/>
  <c r="M331" i="1"/>
  <c r="N331" i="1" s="1"/>
  <c r="P331" i="1" s="1"/>
  <c r="Q331" i="1" s="1"/>
  <c r="M325" i="1"/>
  <c r="N325" i="1" s="1"/>
  <c r="P325" i="1" s="1"/>
  <c r="Q325" i="1" s="1"/>
  <c r="M319" i="1"/>
  <c r="N319" i="1" s="1"/>
  <c r="P319" i="1" s="1"/>
  <c r="Q319" i="1" s="1"/>
  <c r="M559" i="1"/>
  <c r="N559" i="1" s="1"/>
  <c r="P559" i="1" s="1"/>
  <c r="Q559" i="1" s="1"/>
  <c r="M361" i="1"/>
  <c r="N361" i="1" s="1"/>
  <c r="P361" i="1" s="1"/>
  <c r="Q361" i="1" s="1"/>
  <c r="M313" i="1"/>
  <c r="N313" i="1" s="1"/>
  <c r="P313" i="1" s="1"/>
  <c r="Q313" i="1" s="1"/>
  <c r="M307" i="1"/>
  <c r="N307" i="1" s="1"/>
  <c r="P307" i="1" s="1"/>
  <c r="Q307" i="1" s="1"/>
  <c r="M301" i="1"/>
  <c r="N301" i="1" s="1"/>
  <c r="P301" i="1" s="1"/>
  <c r="Q301" i="1" s="1"/>
  <c r="M295" i="1"/>
  <c r="N295" i="1" s="1"/>
  <c r="P295" i="1" s="1"/>
  <c r="Q295" i="1" s="1"/>
  <c r="M289" i="1"/>
  <c r="N289" i="1" s="1"/>
  <c r="P289" i="1" s="1"/>
  <c r="Q289" i="1" s="1"/>
  <c r="M283" i="1"/>
  <c r="N283" i="1" s="1"/>
  <c r="P283" i="1" s="1"/>
  <c r="Q283" i="1" s="1"/>
  <c r="M277" i="1"/>
  <c r="N277" i="1" s="1"/>
  <c r="P277" i="1" s="1"/>
  <c r="Q277" i="1" s="1"/>
  <c r="M271" i="1"/>
  <c r="N271" i="1" s="1"/>
  <c r="P271" i="1" s="1"/>
  <c r="Q271" i="1" s="1"/>
  <c r="M259" i="1"/>
  <c r="N259" i="1" s="1"/>
  <c r="P259" i="1" s="1"/>
  <c r="Q259" i="1" s="1"/>
  <c r="M236" i="1"/>
  <c r="N236" i="1" s="1"/>
  <c r="P236" i="1" s="1"/>
  <c r="Q236" i="1" s="1"/>
  <c r="M212" i="1"/>
  <c r="N212" i="1" s="1"/>
  <c r="P212" i="1" s="1"/>
  <c r="Q212" i="1" s="1"/>
  <c r="M194" i="1"/>
  <c r="N194" i="1" s="1"/>
  <c r="P194" i="1" s="1"/>
  <c r="Q194" i="1" s="1"/>
  <c r="M170" i="1"/>
  <c r="N170" i="1" s="1"/>
  <c r="P170" i="1" s="1"/>
  <c r="Q170" i="1" s="1"/>
  <c r="M158" i="1"/>
  <c r="N158" i="1" s="1"/>
  <c r="P158" i="1" s="1"/>
  <c r="Q158" i="1" s="1"/>
  <c r="M140" i="1"/>
  <c r="N140" i="1" s="1"/>
  <c r="P140" i="1" s="1"/>
  <c r="Q140" i="1" s="1"/>
  <c r="M134" i="1"/>
  <c r="N134" i="1" s="1"/>
  <c r="P134" i="1" s="1"/>
  <c r="Q134" i="1" s="1"/>
  <c r="M122" i="1"/>
  <c r="N122" i="1" s="1"/>
  <c r="P122" i="1" s="1"/>
  <c r="Q122" i="1" s="1"/>
  <c r="M110" i="1"/>
  <c r="N110" i="1" s="1"/>
  <c r="P110" i="1" s="1"/>
  <c r="Q110" i="1" s="1"/>
  <c r="M98" i="1"/>
  <c r="N98" i="1" s="1"/>
  <c r="P98" i="1" s="1"/>
  <c r="Q98" i="1" s="1"/>
  <c r="M80" i="1"/>
  <c r="N80" i="1" s="1"/>
  <c r="P80" i="1" s="1"/>
  <c r="Q80" i="1" s="1"/>
  <c r="M74" i="1"/>
  <c r="N74" i="1" s="1"/>
  <c r="P74" i="1" s="1"/>
  <c r="Q74" i="1" s="1"/>
  <c r="M68" i="1"/>
  <c r="N68" i="1" s="1"/>
  <c r="P68" i="1" s="1"/>
  <c r="Q68" i="1" s="1"/>
  <c r="M32" i="1"/>
  <c r="N32" i="1" s="1"/>
  <c r="P32" i="1" s="1"/>
  <c r="Q32" i="1" s="1"/>
  <c r="M20" i="1"/>
  <c r="N20" i="1" s="1"/>
  <c r="P20" i="1" s="1"/>
  <c r="Q20" i="1" s="1"/>
  <c r="M14" i="1"/>
  <c r="N14" i="1" s="1"/>
  <c r="P14" i="1" s="1"/>
  <c r="Q14" i="1" s="1"/>
  <c r="M2" i="1"/>
  <c r="N2" i="1" s="1"/>
  <c r="P2" i="1" s="1"/>
  <c r="Q2" i="1" s="1"/>
  <c r="M265" i="1" l="1"/>
  <c r="N265" i="1" s="1"/>
  <c r="P265" i="1" s="1"/>
  <c r="Q265" i="1" s="1"/>
  <c r="M254" i="1"/>
  <c r="N254" i="1" s="1"/>
  <c r="P254" i="1" s="1"/>
  <c r="Q254" i="1" s="1"/>
  <c r="M248" i="1"/>
  <c r="N248" i="1" s="1"/>
  <c r="P248" i="1" s="1"/>
  <c r="Q248" i="1" s="1"/>
  <c r="M242" i="1"/>
  <c r="N242" i="1" s="1"/>
  <c r="P242" i="1" s="1"/>
  <c r="Q242" i="1" s="1"/>
  <c r="M230" i="1"/>
  <c r="N230" i="1" s="1"/>
  <c r="P230" i="1" s="1"/>
  <c r="Q230" i="1" s="1"/>
  <c r="M224" i="1"/>
  <c r="N224" i="1" s="1"/>
  <c r="P224" i="1" s="1"/>
  <c r="Q224" i="1" s="1"/>
  <c r="M218" i="1"/>
  <c r="N218" i="1" s="1"/>
  <c r="P218" i="1" s="1"/>
  <c r="Q218" i="1" s="1"/>
  <c r="M200" i="1"/>
  <c r="N200" i="1" s="1"/>
  <c r="P200" i="1" s="1"/>
  <c r="Q200" i="1" s="1"/>
  <c r="M188" i="1"/>
  <c r="N188" i="1" s="1"/>
  <c r="P188" i="1" s="1"/>
  <c r="Q188" i="1" s="1"/>
  <c r="M182" i="1"/>
  <c r="N182" i="1" s="1"/>
  <c r="P182" i="1" s="1"/>
  <c r="Q182" i="1" s="1"/>
  <c r="M176" i="1"/>
  <c r="N176" i="1" s="1"/>
  <c r="P176" i="1" s="1"/>
  <c r="Q176" i="1" s="1"/>
  <c r="M164" i="1"/>
  <c r="N164" i="1" s="1"/>
  <c r="P164" i="1" s="1"/>
  <c r="Q164" i="1" s="1"/>
  <c r="M152" i="1"/>
  <c r="N152" i="1" s="1"/>
  <c r="P152" i="1" s="1"/>
  <c r="Q152" i="1" s="1"/>
  <c r="M146" i="1"/>
  <c r="N146" i="1" s="1"/>
  <c r="P146" i="1" s="1"/>
  <c r="Q146" i="1" s="1"/>
  <c r="M128" i="1"/>
  <c r="N128" i="1" s="1"/>
  <c r="P128" i="1" s="1"/>
  <c r="Q128" i="1" s="1"/>
  <c r="M493" i="1"/>
  <c r="N493" i="1" s="1"/>
  <c r="P493" i="1" s="1"/>
  <c r="Q493" i="1" s="1"/>
  <c r="M116" i="1"/>
  <c r="N116" i="1" s="1"/>
  <c r="P116" i="1" s="1"/>
  <c r="Q116" i="1" s="1"/>
  <c r="M104" i="1"/>
  <c r="N104" i="1" s="1"/>
  <c r="P104" i="1" s="1"/>
  <c r="Q104" i="1" s="1"/>
  <c r="M92" i="1"/>
  <c r="N92" i="1" s="1"/>
  <c r="P92" i="1" s="1"/>
  <c r="Q92" i="1" s="1"/>
  <c r="M86" i="1"/>
  <c r="N86" i="1" s="1"/>
  <c r="P86" i="1" s="1"/>
  <c r="Q86" i="1" s="1"/>
  <c r="M62" i="1"/>
  <c r="N62" i="1" s="1"/>
  <c r="P62" i="1" s="1"/>
  <c r="Q62" i="1" s="1"/>
  <c r="M56" i="1"/>
  <c r="N56" i="1" s="1"/>
  <c r="P56" i="1" s="1"/>
  <c r="Q56" i="1" s="1"/>
  <c r="M50" i="1"/>
  <c r="N50" i="1" s="1"/>
  <c r="P50" i="1" s="1"/>
  <c r="Q50" i="1" s="1"/>
  <c r="M44" i="1"/>
  <c r="N44" i="1" s="1"/>
  <c r="P44" i="1" s="1"/>
  <c r="Q44" i="1" s="1"/>
  <c r="M38" i="1"/>
  <c r="N38" i="1" s="1"/>
  <c r="P38" i="1" s="1"/>
  <c r="Q38" i="1" s="1"/>
  <c r="M26" i="1"/>
  <c r="N26" i="1" s="1"/>
  <c r="P26" i="1" s="1"/>
  <c r="Q26" i="1" s="1"/>
  <c r="M8" i="1"/>
  <c r="N8" i="1" s="1"/>
  <c r="P8" i="1" s="1"/>
  <c r="Q8" i="1" s="1"/>
</calcChain>
</file>

<file path=xl/sharedStrings.xml><?xml version="1.0" encoding="utf-8"?>
<sst xmlns="http://schemas.openxmlformats.org/spreadsheetml/2006/main" count="12897" uniqueCount="317">
  <si>
    <t>Lake</t>
  </si>
  <si>
    <t>Site</t>
  </si>
  <si>
    <t>Constituent Name</t>
  </si>
  <si>
    <t>units</t>
  </si>
  <si>
    <t>Trend</t>
  </si>
  <si>
    <t>Direction</t>
  </si>
  <si>
    <t>Final Slope</t>
  </si>
  <si>
    <t>N</t>
  </si>
  <si>
    <t>Site ANOVA</t>
  </si>
  <si>
    <t>Seasonal ANOVA</t>
  </si>
  <si>
    <t>Altus</t>
  </si>
  <si>
    <t>Whole Lake</t>
  </si>
  <si>
    <t>Chlorophyll</t>
  </si>
  <si>
    <t>ug/L</t>
  </si>
  <si>
    <t>NS Trend</t>
  </si>
  <si>
    <t>N/A</t>
  </si>
  <si>
    <t>NS</t>
  </si>
  <si>
    <t>***</t>
  </si>
  <si>
    <t>Secchi</t>
  </si>
  <si>
    <t>cm</t>
  </si>
  <si>
    <t>Specific Conductivity</t>
  </si>
  <si>
    <t>uS/cm</t>
  </si>
  <si>
    <t>↑↑↑</t>
  </si>
  <si>
    <t>up</t>
  </si>
  <si>
    <t>mg/L</t>
  </si>
  <si>
    <t>Total Phosphorus</t>
  </si>
  <si>
    <t>Turbidity</t>
  </si>
  <si>
    <t>NTU</t>
  </si>
  <si>
    <t>↓</t>
  </si>
  <si>
    <t>down</t>
  </si>
  <si>
    <t>Arbuckle</t>
  </si>
  <si>
    <t>*</t>
  </si>
  <si>
    <t>↓↓↓</t>
  </si>
  <si>
    <t>**</t>
  </si>
  <si>
    <t>↓↓</t>
  </si>
  <si>
    <t>Arcadia</t>
  </si>
  <si>
    <t>Atoka</t>
  </si>
  <si>
    <t>Bellcow</t>
  </si>
  <si>
    <t>↑↑</t>
  </si>
  <si>
    <t>Birch</t>
  </si>
  <si>
    <t>↑</t>
  </si>
  <si>
    <t>Bluestem</t>
  </si>
  <si>
    <t>Boomer</t>
  </si>
  <si>
    <t>BrokenBow</t>
  </si>
  <si>
    <t>CantonLake</t>
  </si>
  <si>
    <t xml:space="preserve">  </t>
  </si>
  <si>
    <t>CarlAlbert</t>
  </si>
  <si>
    <t>CarlBlackwell</t>
  </si>
  <si>
    <t>Chandler</t>
  </si>
  <si>
    <t>Chickasha</t>
  </si>
  <si>
    <t>Claremore</t>
  </si>
  <si>
    <t>ClearCreek</t>
  </si>
  <si>
    <t>Clinton</t>
  </si>
  <si>
    <t>Coalgate</t>
  </si>
  <si>
    <t>Copan</t>
  </si>
  <si>
    <t>Cushing</t>
  </si>
  <si>
    <t>Duncan</t>
  </si>
  <si>
    <t>Ellsworth</t>
  </si>
  <si>
    <t>EuchaLake</t>
  </si>
  <si>
    <t>Eufaula</t>
  </si>
  <si>
    <t>Fairfax</t>
  </si>
  <si>
    <t>FortCobb</t>
  </si>
  <si>
    <t>FortGibson</t>
  </si>
  <si>
    <t>Foss</t>
  </si>
  <si>
    <t>Frederick</t>
  </si>
  <si>
    <t>Fuqua</t>
  </si>
  <si>
    <t>Grand</t>
  </si>
  <si>
    <t>GreatSalt</t>
  </si>
  <si>
    <t>Greenleaf</t>
  </si>
  <si>
    <t>Guthrie</t>
  </si>
  <si>
    <t>Hefner</t>
  </si>
  <si>
    <t>Henryetta</t>
  </si>
  <si>
    <t>Heyburn</t>
  </si>
  <si>
    <t>Holdenville</t>
  </si>
  <si>
    <t>Hominy</t>
  </si>
  <si>
    <t>Hugo</t>
  </si>
  <si>
    <t>Hulah</t>
  </si>
  <si>
    <t>Humphreys</t>
  </si>
  <si>
    <t>JNeustadt</t>
  </si>
  <si>
    <t>JohnWells</t>
  </si>
  <si>
    <t>Kaw</t>
  </si>
  <si>
    <t>Keystone</t>
  </si>
  <si>
    <t>Konawa</t>
  </si>
  <si>
    <t>Langston</t>
  </si>
  <si>
    <t>Lawtonka</t>
  </si>
  <si>
    <t>Liberty</t>
  </si>
  <si>
    <t>LoneChimney</t>
  </si>
  <si>
    <t>McAlester</t>
  </si>
  <si>
    <t>McGeeCreek</t>
  </si>
  <si>
    <t>McMurtry</t>
  </si>
  <si>
    <t>Okemah</t>
  </si>
  <si>
    <t>Okmulgee</t>
  </si>
  <si>
    <t>Oologah</t>
  </si>
  <si>
    <t>Overholser</t>
  </si>
  <si>
    <t>PaulsValley</t>
  </si>
  <si>
    <t>Pawnee</t>
  </si>
  <si>
    <t>Perry</t>
  </si>
  <si>
    <t>PineCreek</t>
  </si>
  <si>
    <t>Ponca</t>
  </si>
  <si>
    <t>RCLongmire</t>
  </si>
  <si>
    <t>Rocky</t>
  </si>
  <si>
    <t>RSKerr</t>
  </si>
  <si>
    <t>Sahoma</t>
  </si>
  <si>
    <t>Sardis</t>
  </si>
  <si>
    <t>ShawneeTwin#1</t>
  </si>
  <si>
    <t>ShawneeTwin#2</t>
  </si>
  <si>
    <t>Shell</t>
  </si>
  <si>
    <t>Skiatook</t>
  </si>
  <si>
    <t>Sooner</t>
  </si>
  <si>
    <t>Spavinaw</t>
  </si>
  <si>
    <t>Stroud</t>
  </si>
  <si>
    <t>Talawanda#1</t>
  </si>
  <si>
    <t>Talawanda#2</t>
  </si>
  <si>
    <t>Tecumseh</t>
  </si>
  <si>
    <t>TenkillerFerry</t>
  </si>
  <si>
    <t>Texoma</t>
  </si>
  <si>
    <t>Thunderbird</t>
  </si>
  <si>
    <t>TomSteed</t>
  </si>
  <si>
    <t>Walters</t>
  </si>
  <si>
    <t>WebbersFalls</t>
  </si>
  <si>
    <t>WesWatkins</t>
  </si>
  <si>
    <t>Wewoka</t>
  </si>
  <si>
    <t>Wister</t>
  </si>
  <si>
    <t>WRHolway</t>
  </si>
  <si>
    <t>Years</t>
  </si>
  <si>
    <t>Total slope</t>
  </si>
  <si>
    <t>Y-int</t>
  </si>
  <si>
    <t>End Point</t>
  </si>
  <si>
    <t>%change</t>
  </si>
  <si>
    <t>Note</t>
  </si>
  <si>
    <t>Do we have enough information</t>
  </si>
  <si>
    <t>need to grab wayne wallace and process</t>
  </si>
  <si>
    <t>WayneWallace</t>
  </si>
  <si>
    <t>This has been changed to no significant trend</t>
  </si>
  <si>
    <t>changed to a significant decreasing trend</t>
  </si>
  <si>
    <t>Change  in certainty of trend, slope, and n</t>
  </si>
  <si>
    <t>Change in slope and n</t>
  </si>
  <si>
    <t>change in certainty of trend</t>
  </si>
  <si>
    <t>Check the certainty;  don't know if this a change or not</t>
  </si>
  <si>
    <t>Trend certainty, slope and n changed</t>
  </si>
  <si>
    <t>new evaluation; compare to former analysis</t>
  </si>
  <si>
    <t>This site now trending upward</t>
  </si>
  <si>
    <t>slope and n have changed</t>
  </si>
  <si>
    <t>n has changed</t>
  </si>
  <si>
    <t>slope and n changed</t>
  </si>
  <si>
    <t>slope has changed</t>
  </si>
  <si>
    <t>trend certainty, slope changed</t>
  </si>
  <si>
    <t>slope changed</t>
  </si>
  <si>
    <t>trend is now significant</t>
  </si>
  <si>
    <t>Now showing not trend;</t>
  </si>
  <si>
    <t>now trending upward</t>
  </si>
  <si>
    <t>new slope</t>
  </si>
  <si>
    <t>Certainty slope and n changed</t>
  </si>
  <si>
    <t>Begin Date</t>
  </si>
  <si>
    <t>End date</t>
  </si>
  <si>
    <t>now is no trend</t>
  </si>
  <si>
    <t>certainty and slope changed</t>
  </si>
  <si>
    <t>direction and all other has changed</t>
  </si>
  <si>
    <t>certainy, slope, and n changed</t>
  </si>
  <si>
    <t>up[</t>
  </si>
  <si>
    <t>trend now significant</t>
  </si>
  <si>
    <t>Need to bring in data from Tulsa; now no trend</t>
  </si>
  <si>
    <t>everything changed including direction</t>
  </si>
  <si>
    <t>na</t>
  </si>
  <si>
    <t>confidence, slope changed</t>
  </si>
  <si>
    <t>now no trend</t>
  </si>
  <si>
    <t>now no trend (slope was already very low)</t>
  </si>
  <si>
    <t>now no trend (n decreased)</t>
  </si>
  <si>
    <t>new analysis</t>
  </si>
  <si>
    <t>now no trend (slope was already very low; n changed)</t>
  </si>
  <si>
    <t>certainty, slope and n changed</t>
  </si>
  <si>
    <t>now is no trend; lower n; slope already low</t>
  </si>
  <si>
    <t>now upward trend from no trend</t>
  </si>
  <si>
    <t>now is no trend; slope already low</t>
  </si>
  <si>
    <t>certaintly and slope have changed</t>
  </si>
  <si>
    <t>now is no trend; higher n</t>
  </si>
  <si>
    <t>now is not trend</t>
  </si>
  <si>
    <t>now is not trend:  higher n</t>
  </si>
  <si>
    <t>n changed</t>
  </si>
  <si>
    <t>now trend upward</t>
  </si>
  <si>
    <t>now is increasing; n decreased</t>
  </si>
  <si>
    <t>now no trend; n is lower</t>
  </si>
  <si>
    <t>certainty changed</t>
  </si>
  <si>
    <t>Not enough data to calculate</t>
  </si>
  <si>
    <t>trend now increasing; n changed</t>
  </si>
  <si>
    <t>changed slope and n</t>
  </si>
  <si>
    <t>NEI</t>
  </si>
  <si>
    <t>trend now decreasing</t>
  </si>
  <si>
    <t>now not tend; n increased</t>
  </si>
  <si>
    <t>now trending downward</t>
  </si>
  <si>
    <t>now trending downward; n changed</t>
  </si>
  <si>
    <t>trend now increasing</t>
  </si>
  <si>
    <t>now no trend; n is higher</t>
  </si>
  <si>
    <t>now no trend;  slope was low</t>
  </si>
  <si>
    <t>now no trend; n increased</t>
  </si>
  <si>
    <t>now no trend; n decreased</t>
  </si>
  <si>
    <t>now no trend; lower n</t>
  </si>
  <si>
    <t>first date seems low</t>
  </si>
  <si>
    <t>now trend decreasing;  n changed</t>
  </si>
  <si>
    <t>now trending down; n decreased</t>
  </si>
  <si>
    <t>43/1/19</t>
  </si>
  <si>
    <t>now no trend;  n decreased</t>
  </si>
  <si>
    <t>now increasing trend; n lowered</t>
  </si>
  <si>
    <t>Not enough data to reliably calculate</t>
  </si>
  <si>
    <t>Recalculate without 01 data</t>
  </si>
  <si>
    <t>lup</t>
  </si>
  <si>
    <t>Hudson Lake</t>
  </si>
  <si>
    <t>Lake Hudson (Grand)</t>
  </si>
  <si>
    <t>based on linear regresssion</t>
  </si>
  <si>
    <t>Murray</t>
  </si>
  <si>
    <t>Stanley Draper</t>
  </si>
  <si>
    <t>Dripping Springs</t>
  </si>
  <si>
    <t>Crowder</t>
  </si>
  <si>
    <t>FortSupply</t>
  </si>
  <si>
    <t>New Spiro</t>
  </si>
  <si>
    <t>Waurika</t>
  </si>
  <si>
    <t>All Cleared</t>
  </si>
  <si>
    <t>Hominy no conductivity graph</t>
  </si>
  <si>
    <t>Latitude</t>
  </si>
  <si>
    <t>Longitude</t>
  </si>
  <si>
    <t>Elmer Thomas</t>
  </si>
  <si>
    <t>Chlorophyll (ug/L)</t>
  </si>
  <si>
    <t>Total Nitrogen (mg/L)</t>
  </si>
  <si>
    <t>Total Phosphorus (mg/L)</t>
  </si>
  <si>
    <t>Secchi (cm)</t>
  </si>
  <si>
    <t>Conductivity (uS/cm)</t>
  </si>
  <si>
    <t>Turbidity (NTU)</t>
  </si>
  <si>
    <t>Trend_Direction</t>
  </si>
  <si>
    <t>Constituent_Name</t>
  </si>
  <si>
    <t>Trend_Arrows</t>
  </si>
  <si>
    <t>Final_Slope</t>
  </si>
  <si>
    <t>Site_ANOVA</t>
  </si>
  <si>
    <t>Seasonal_ANOVA</t>
  </si>
  <si>
    <t xml:space="preserve">POR_Start </t>
  </si>
  <si>
    <t>POR_End</t>
  </si>
  <si>
    <t>POR_Years</t>
  </si>
  <si>
    <t>Y-intercept</t>
  </si>
  <si>
    <t>End_Point</t>
  </si>
  <si>
    <t>County</t>
  </si>
  <si>
    <t>Country</t>
  </si>
  <si>
    <t>US</t>
  </si>
  <si>
    <t>Greer</t>
  </si>
  <si>
    <t>Oklahoma</t>
  </si>
  <si>
    <t>Lincoln</t>
  </si>
  <si>
    <t>Osage</t>
  </si>
  <si>
    <t>Payne</t>
  </si>
  <si>
    <t>McCurtain</t>
  </si>
  <si>
    <t>Blaine</t>
  </si>
  <si>
    <t>Latimver</t>
  </si>
  <si>
    <t>Caddo</t>
  </si>
  <si>
    <t>Rogers</t>
  </si>
  <si>
    <t>Stephens</t>
  </si>
  <si>
    <t>Washita</t>
  </si>
  <si>
    <t>Coal</t>
  </si>
  <si>
    <t>Washington</t>
  </si>
  <si>
    <t>Comanche</t>
  </si>
  <si>
    <t>Delaware</t>
  </si>
  <si>
    <t>Haskell</t>
  </si>
  <si>
    <t>Cherokee</t>
  </si>
  <si>
    <t>Woodward</t>
  </si>
  <si>
    <t>Custer</t>
  </si>
  <si>
    <t>Tillman</t>
  </si>
  <si>
    <t>Alfalfa</t>
  </si>
  <si>
    <t>Muskogee</t>
  </si>
  <si>
    <t>Logan</t>
  </si>
  <si>
    <t>Creek</t>
  </si>
  <si>
    <t>Hughes</t>
  </si>
  <si>
    <t>Choctaw</t>
  </si>
  <si>
    <t>Carter</t>
  </si>
  <si>
    <t>Tulsa</t>
  </si>
  <si>
    <t>Seminole</t>
  </si>
  <si>
    <t>Mayes</t>
  </si>
  <si>
    <t>Pittsburg</t>
  </si>
  <si>
    <t>Noble</t>
  </si>
  <si>
    <t>Love</t>
  </si>
  <si>
    <t>LeFlore</t>
  </si>
  <si>
    <t>Okfuskee</t>
  </si>
  <si>
    <t>Garvin</t>
  </si>
  <si>
    <t>Kay</t>
  </si>
  <si>
    <t>Sequoyah</t>
  </si>
  <si>
    <t>Pushmataha</t>
  </si>
  <si>
    <t>Pottawatomie</t>
  </si>
  <si>
    <t>Cleveland</t>
  </si>
  <si>
    <t>Bryan</t>
  </si>
  <si>
    <t>Kiowa</t>
  </si>
  <si>
    <t>Jefferson</t>
  </si>
  <si>
    <t>Latimer</t>
  </si>
  <si>
    <t>Le Flore</t>
  </si>
  <si>
    <t>Cotton</t>
  </si>
  <si>
    <t>Pauls Valley</t>
  </si>
  <si>
    <t>Canton</t>
  </si>
  <si>
    <t>Eucha</t>
  </si>
  <si>
    <t>Jean Neustadt</t>
  </si>
  <si>
    <t>Great Salt Plains</t>
  </si>
  <si>
    <t>Lake Hudson (Delaware County)</t>
  </si>
  <si>
    <t>Robert S. Kerr</t>
  </si>
  <si>
    <t>Total Nitrogen</t>
  </si>
  <si>
    <t>Broken Bow</t>
  </si>
  <si>
    <t>Carl Albert</t>
  </si>
  <si>
    <t>Carl Blackwell</t>
  </si>
  <si>
    <t>Clear Creek</t>
  </si>
  <si>
    <t>Fort Cobb</t>
  </si>
  <si>
    <t>Fort Gibson</t>
  </si>
  <si>
    <t>Fort Supply</t>
  </si>
  <si>
    <t>John Wells</t>
  </si>
  <si>
    <t>Lone Chimney</t>
  </si>
  <si>
    <t>McGee Creek</t>
  </si>
  <si>
    <t>Pine Creek</t>
  </si>
  <si>
    <t>RC Longmire</t>
  </si>
  <si>
    <t>Shawnee Twin#1</t>
  </si>
  <si>
    <t>Shawnee Twin#2</t>
  </si>
  <si>
    <t>Tenkiller Ferry</t>
  </si>
  <si>
    <t>Tom Steed</t>
  </si>
  <si>
    <t>Wayne Wallace</t>
  </si>
  <si>
    <t>Webbers Falls</t>
  </si>
  <si>
    <t>Wes Watkins</t>
  </si>
  <si>
    <t>WR Holway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</si>
</sst>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 applyFill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389B-9B91-4ACA-A1F0-8EEE721DE03C}">
  <dimension ref="A1:R594"/>
  <sheetViews>
    <sheetView tabSelected="1" zoomScale="110" zoomScaleNormal="110" workbookViewId="0">
      <pane xSplit="1" ySplit="1" topLeftCell="B259" activePane="bottomRight" state="frozen"/>
      <selection pane="topRight" activeCell="B1" sqref="B1"/>
      <selection pane="bottomLeft" activeCell="A2" sqref="A2"/>
      <selection pane="bottomRight" activeCell="A457" sqref="A457:XFD462"/>
    </sheetView>
  </sheetViews>
  <sheetFormatPr defaultRowHeight="15" x14ac:dyDescent="0.25"/>
  <cols>
    <col min="1" max="1" width="19.85546875" bestFit="1" customWidth="1"/>
    <col min="2" max="2" width="11" bestFit="1" customWidth="1"/>
    <col min="3" max="3" width="19.28515625" bestFit="1" customWidth="1"/>
    <col min="4" max="4" width="6.5703125" bestFit="1" customWidth="1"/>
    <col min="5" max="5" width="8.85546875" bestFit="1" customWidth="1"/>
    <col min="6" max="6" width="9" bestFit="1" customWidth="1"/>
    <col min="7" max="7" width="10.7109375" style="2" bestFit="1" customWidth="1"/>
    <col min="8" max="8" width="4.7109375" bestFit="1" customWidth="1"/>
    <col min="9" max="9" width="10.85546875" bestFit="1" customWidth="1"/>
    <col min="10" max="10" width="16" bestFit="1" customWidth="1"/>
    <col min="11" max="12" width="11.140625" style="3" bestFit="1" customWidth="1"/>
    <col min="13" max="13" width="9.140625" style="2"/>
    <col min="14" max="14" width="10.7109375" bestFit="1" customWidth="1"/>
    <col min="17" max="17" width="9.140625" style="1"/>
    <col min="18" max="18" width="36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153</v>
      </c>
      <c r="L1" s="3" t="s">
        <v>154</v>
      </c>
      <c r="M1" s="2" t="s">
        <v>124</v>
      </c>
      <c r="N1" t="s">
        <v>125</v>
      </c>
      <c r="O1" t="s">
        <v>126</v>
      </c>
      <c r="P1" t="s">
        <v>127</v>
      </c>
      <c r="Q1" s="1" t="s">
        <v>128</v>
      </c>
      <c r="R1" t="s">
        <v>129</v>
      </c>
    </row>
    <row r="2" spans="1:1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23</v>
      </c>
      <c r="I2" t="s">
        <v>16</v>
      </c>
      <c r="J2" t="s">
        <v>17</v>
      </c>
      <c r="K2" s="3">
        <v>37588</v>
      </c>
      <c r="L2" s="3">
        <v>44467</v>
      </c>
      <c r="M2" s="2">
        <f t="shared" ref="M2:M7" si="0">(L2-K2)/365</f>
        <v>18.846575342465755</v>
      </c>
      <c r="N2" t="e">
        <f t="shared" ref="N2:N7" si="1">G2*M2</f>
        <v>#VALUE!</v>
      </c>
      <c r="O2" t="s">
        <v>15</v>
      </c>
      <c r="P2" t="e">
        <f t="shared" ref="P2:P7" si="2">O2+N2</f>
        <v>#VALUE!</v>
      </c>
      <c r="Q2" s="1" t="e">
        <f t="shared" ref="Q2:Q6" si="3">((P2-O2)/P2)</f>
        <v>#VALUE!</v>
      </c>
    </row>
    <row r="3" spans="1:18" x14ac:dyDescent="0.25">
      <c r="A3" t="s">
        <v>10</v>
      </c>
      <c r="B3" t="s">
        <v>11</v>
      </c>
      <c r="C3" t="s">
        <v>296</v>
      </c>
      <c r="D3" t="s">
        <v>24</v>
      </c>
      <c r="E3" s="4" t="s">
        <v>22</v>
      </c>
      <c r="F3" t="s">
        <v>23</v>
      </c>
      <c r="G3">
        <v>1.5299999999999999E-2</v>
      </c>
      <c r="H3">
        <v>24</v>
      </c>
      <c r="I3" t="s">
        <v>16</v>
      </c>
      <c r="J3" t="s">
        <v>17</v>
      </c>
      <c r="K3" s="3">
        <v>36446</v>
      </c>
      <c r="L3" s="3">
        <v>44467</v>
      </c>
      <c r="M3" s="2">
        <f t="shared" si="0"/>
        <v>21.975342465753425</v>
      </c>
      <c r="N3">
        <f t="shared" si="1"/>
        <v>0.3362227397260274</v>
      </c>
      <c r="O3">
        <v>0.69</v>
      </c>
      <c r="P3">
        <f t="shared" si="2"/>
        <v>1.0262227397260273</v>
      </c>
      <c r="Q3" s="1">
        <f>((P3-O3)/O3)</f>
        <v>0.48727933293627157</v>
      </c>
      <c r="R3" t="s">
        <v>147</v>
      </c>
    </row>
    <row r="4" spans="1:18" x14ac:dyDescent="0.25">
      <c r="A4" t="s">
        <v>10</v>
      </c>
      <c r="B4" t="s">
        <v>11</v>
      </c>
      <c r="C4" t="s">
        <v>18</v>
      </c>
      <c r="D4" t="s">
        <v>19</v>
      </c>
      <c r="E4" t="s">
        <v>14</v>
      </c>
      <c r="F4" t="s">
        <v>15</v>
      </c>
      <c r="G4" t="s">
        <v>15</v>
      </c>
      <c r="H4">
        <v>17</v>
      </c>
      <c r="I4" t="s">
        <v>16</v>
      </c>
      <c r="J4" t="s">
        <v>17</v>
      </c>
      <c r="K4" s="3">
        <v>38237</v>
      </c>
      <c r="L4" s="3">
        <v>44467</v>
      </c>
      <c r="M4" s="2">
        <f t="shared" si="0"/>
        <v>17.068493150684933</v>
      </c>
      <c r="N4" t="e">
        <f t="shared" si="1"/>
        <v>#VALUE!</v>
      </c>
      <c r="O4" t="s">
        <v>15</v>
      </c>
      <c r="P4" t="e">
        <f t="shared" si="2"/>
        <v>#VALUE!</v>
      </c>
      <c r="Q4" s="1" t="e">
        <f t="shared" si="3"/>
        <v>#VALUE!</v>
      </c>
    </row>
    <row r="5" spans="1:18" x14ac:dyDescent="0.25">
      <c r="A5" t="s">
        <v>10</v>
      </c>
      <c r="B5" t="s">
        <v>11</v>
      </c>
      <c r="C5" t="s">
        <v>20</v>
      </c>
      <c r="D5" t="s">
        <v>21</v>
      </c>
      <c r="E5" t="s">
        <v>186</v>
      </c>
      <c r="F5" t="s">
        <v>15</v>
      </c>
      <c r="G5" t="s">
        <v>15</v>
      </c>
      <c r="H5">
        <v>7</v>
      </c>
      <c r="I5" t="s">
        <v>16</v>
      </c>
      <c r="J5" t="s">
        <v>16</v>
      </c>
      <c r="M5" s="2">
        <f t="shared" si="0"/>
        <v>0</v>
      </c>
      <c r="N5" t="e">
        <f t="shared" si="1"/>
        <v>#VALUE!</v>
      </c>
      <c r="O5" t="s">
        <v>15</v>
      </c>
      <c r="P5" t="e">
        <f t="shared" si="2"/>
        <v>#VALUE!</v>
      </c>
      <c r="Q5" s="1" t="e">
        <f t="shared" si="3"/>
        <v>#VALUE!</v>
      </c>
      <c r="R5" t="s">
        <v>203</v>
      </c>
    </row>
    <row r="6" spans="1:18" x14ac:dyDescent="0.25">
      <c r="A6" t="s">
        <v>10</v>
      </c>
      <c r="B6" t="s">
        <v>11</v>
      </c>
      <c r="C6" t="s">
        <v>25</v>
      </c>
      <c r="D6" t="s">
        <v>24</v>
      </c>
      <c r="E6" t="s">
        <v>14</v>
      </c>
      <c r="F6" t="s">
        <v>15</v>
      </c>
      <c r="G6" t="s">
        <v>15</v>
      </c>
      <c r="H6">
        <v>24</v>
      </c>
      <c r="I6" t="s">
        <v>16</v>
      </c>
      <c r="J6" t="s">
        <v>17</v>
      </c>
      <c r="K6" s="3">
        <v>36446</v>
      </c>
      <c r="L6" s="3">
        <v>44467</v>
      </c>
      <c r="M6" s="2">
        <f t="shared" si="0"/>
        <v>21.975342465753425</v>
      </c>
      <c r="N6" t="e">
        <f t="shared" si="1"/>
        <v>#VALUE!</v>
      </c>
      <c r="O6" t="s">
        <v>15</v>
      </c>
      <c r="P6" t="e">
        <f t="shared" si="2"/>
        <v>#VALUE!</v>
      </c>
      <c r="Q6" s="1" t="e">
        <f t="shared" si="3"/>
        <v>#VALUE!</v>
      </c>
    </row>
    <row r="7" spans="1:18" x14ac:dyDescent="0.25">
      <c r="A7" t="s">
        <v>10</v>
      </c>
      <c r="B7" t="s">
        <v>11</v>
      </c>
      <c r="C7" t="s">
        <v>26</v>
      </c>
      <c r="D7" t="s">
        <v>27</v>
      </c>
      <c r="E7" s="5" t="s">
        <v>28</v>
      </c>
      <c r="F7" t="s">
        <v>29</v>
      </c>
      <c r="G7">
        <v>-0.46029999999999999</v>
      </c>
      <c r="H7">
        <v>18</v>
      </c>
      <c r="I7" t="s">
        <v>17</v>
      </c>
      <c r="J7" t="s">
        <v>16</v>
      </c>
      <c r="K7" s="3">
        <v>38237</v>
      </c>
      <c r="L7" s="3">
        <v>44498</v>
      </c>
      <c r="M7" s="2">
        <f t="shared" si="0"/>
        <v>17.153424657534245</v>
      </c>
      <c r="N7">
        <f t="shared" si="1"/>
        <v>-7.8957213698630131</v>
      </c>
      <c r="O7">
        <v>22</v>
      </c>
      <c r="P7">
        <f t="shared" si="2"/>
        <v>14.104278630136987</v>
      </c>
      <c r="Q7" s="1">
        <f t="shared" ref="Q7" si="4">((P7-O7)/O7)</f>
        <v>-0.35889642590286425</v>
      </c>
    </row>
    <row r="8" spans="1:18" x14ac:dyDescent="0.25">
      <c r="A8" t="s">
        <v>30</v>
      </c>
      <c r="B8" t="s">
        <v>11</v>
      </c>
      <c r="C8" t="s">
        <v>12</v>
      </c>
      <c r="D8" t="s">
        <v>13</v>
      </c>
      <c r="E8" s="4" t="s">
        <v>22</v>
      </c>
      <c r="F8" t="s">
        <v>23</v>
      </c>
      <c r="G8">
        <v>0.63500000000000001</v>
      </c>
      <c r="H8">
        <v>30</v>
      </c>
      <c r="I8" t="s">
        <v>16</v>
      </c>
      <c r="J8" t="s">
        <v>31</v>
      </c>
      <c r="K8" s="3">
        <v>37775</v>
      </c>
      <c r="L8" s="3">
        <v>45048</v>
      </c>
      <c r="M8" s="2">
        <f t="shared" ref="M8:M71" si="5">(L8-K8)/365</f>
        <v>19.926027397260274</v>
      </c>
      <c r="N8">
        <f t="shared" ref="N8:N71" si="6">G8*M8</f>
        <v>12.653027397260274</v>
      </c>
      <c r="O8">
        <v>5</v>
      </c>
      <c r="P8">
        <f t="shared" ref="P8:P71" si="7">O8+N8</f>
        <v>17.653027397260274</v>
      </c>
      <c r="Q8" s="1">
        <f>((P8-O8)/O8)</f>
        <v>2.5306054794520549</v>
      </c>
    </row>
    <row r="9" spans="1:18" x14ac:dyDescent="0.25">
      <c r="A9" t="s">
        <v>30</v>
      </c>
      <c r="B9" t="s">
        <v>11</v>
      </c>
      <c r="C9" t="s">
        <v>296</v>
      </c>
      <c r="D9" t="s">
        <v>24</v>
      </c>
      <c r="E9" s="4" t="s">
        <v>22</v>
      </c>
      <c r="F9" t="s">
        <v>23</v>
      </c>
      <c r="G9">
        <v>9.3290000000000005E-3</v>
      </c>
      <c r="H9">
        <v>40</v>
      </c>
      <c r="I9" t="s">
        <v>16</v>
      </c>
      <c r="J9" t="s">
        <v>16</v>
      </c>
      <c r="K9" s="3">
        <v>36480</v>
      </c>
      <c r="L9" s="3">
        <v>45160</v>
      </c>
      <c r="M9" s="2">
        <f t="shared" si="5"/>
        <v>23.780821917808218</v>
      </c>
      <c r="N9">
        <f t="shared" si="6"/>
        <v>0.22185128767123288</v>
      </c>
      <c r="O9">
        <v>0.45</v>
      </c>
      <c r="P9">
        <f t="shared" si="7"/>
        <v>0.67185128767123292</v>
      </c>
      <c r="Q9" s="1">
        <f>((P9-O9)/O9)</f>
        <v>0.4930028614916287</v>
      </c>
      <c r="R9" t="s">
        <v>147</v>
      </c>
    </row>
    <row r="10" spans="1:18" x14ac:dyDescent="0.25">
      <c r="A10" t="s">
        <v>30</v>
      </c>
      <c r="B10" t="s">
        <v>11</v>
      </c>
      <c r="C10" t="s">
        <v>18</v>
      </c>
      <c r="D10" t="s">
        <v>19</v>
      </c>
      <c r="E10" s="4" t="s">
        <v>28</v>
      </c>
      <c r="F10" t="s">
        <v>29</v>
      </c>
      <c r="G10">
        <v>-5.7060000000000004</v>
      </c>
      <c r="H10">
        <v>25</v>
      </c>
      <c r="I10" t="s">
        <v>17</v>
      </c>
      <c r="J10" t="s">
        <v>17</v>
      </c>
      <c r="K10" s="3">
        <v>38300</v>
      </c>
      <c r="L10" s="3">
        <v>45082</v>
      </c>
      <c r="M10" s="2">
        <f t="shared" si="5"/>
        <v>18.580821917808219</v>
      </c>
      <c r="N10">
        <f t="shared" si="6"/>
        <v>-106.0221698630137</v>
      </c>
      <c r="O10">
        <v>179</v>
      </c>
      <c r="P10">
        <f t="shared" si="7"/>
        <v>72.977830136986299</v>
      </c>
      <c r="Q10" s="1">
        <f>((P10-O10)/O10)</f>
        <v>-0.59230262493303742</v>
      </c>
      <c r="R10" t="s">
        <v>170</v>
      </c>
    </row>
    <row r="11" spans="1:18" x14ac:dyDescent="0.25">
      <c r="A11" t="s">
        <v>30</v>
      </c>
      <c r="B11" t="s">
        <v>11</v>
      </c>
      <c r="C11" t="s">
        <v>20</v>
      </c>
      <c r="D11" t="s">
        <v>21</v>
      </c>
      <c r="E11" t="s">
        <v>14</v>
      </c>
      <c r="F11" t="s">
        <v>15</v>
      </c>
      <c r="G11" s="2" t="s">
        <v>15</v>
      </c>
      <c r="H11">
        <v>44</v>
      </c>
      <c r="I11" t="s">
        <v>16</v>
      </c>
      <c r="J11" t="s">
        <v>17</v>
      </c>
      <c r="K11" s="3">
        <v>35952</v>
      </c>
      <c r="L11" s="3">
        <v>45238</v>
      </c>
      <c r="M11" s="2">
        <f t="shared" si="5"/>
        <v>25.44109589041096</v>
      </c>
      <c r="N11" t="e">
        <f t="shared" si="6"/>
        <v>#VALUE!</v>
      </c>
      <c r="O11" t="s">
        <v>15</v>
      </c>
      <c r="P11" t="e">
        <f t="shared" si="7"/>
        <v>#VALUE!</v>
      </c>
      <c r="Q11" s="1" t="e">
        <f>((P11-O11)/P11)</f>
        <v>#VALUE!</v>
      </c>
    </row>
    <row r="12" spans="1:18" x14ac:dyDescent="0.25">
      <c r="A12" t="s">
        <v>30</v>
      </c>
      <c r="B12" t="s">
        <v>11</v>
      </c>
      <c r="C12" t="s">
        <v>25</v>
      </c>
      <c r="D12" t="s">
        <v>24</v>
      </c>
      <c r="E12" t="s">
        <v>14</v>
      </c>
      <c r="F12" t="s">
        <v>15</v>
      </c>
      <c r="G12" t="s">
        <v>15</v>
      </c>
      <c r="H12">
        <v>36</v>
      </c>
      <c r="I12" t="s">
        <v>16</v>
      </c>
      <c r="J12" t="s">
        <v>33</v>
      </c>
      <c r="K12" s="3">
        <v>36480</v>
      </c>
      <c r="L12" s="3">
        <v>45048</v>
      </c>
      <c r="M12" s="2">
        <f t="shared" si="5"/>
        <v>23.473972602739725</v>
      </c>
      <c r="N12" t="e">
        <f t="shared" si="6"/>
        <v>#VALUE!</v>
      </c>
      <c r="O12" t="s">
        <v>15</v>
      </c>
      <c r="P12" t="e">
        <f t="shared" si="7"/>
        <v>#VALUE!</v>
      </c>
      <c r="Q12" s="1" t="e">
        <f>((P12-O12)/P12)</f>
        <v>#VALUE!</v>
      </c>
    </row>
    <row r="13" spans="1:18" x14ac:dyDescent="0.25">
      <c r="A13" t="s">
        <v>30</v>
      </c>
      <c r="B13" t="s">
        <v>11</v>
      </c>
      <c r="C13" t="s">
        <v>26</v>
      </c>
      <c r="D13" t="s">
        <v>27</v>
      </c>
      <c r="E13" s="4" t="s">
        <v>28</v>
      </c>
      <c r="F13" t="s">
        <v>29</v>
      </c>
      <c r="G13">
        <v>-0.12590000000000001</v>
      </c>
      <c r="H13">
        <v>26</v>
      </c>
      <c r="I13" t="s">
        <v>17</v>
      </c>
      <c r="J13" t="s">
        <v>17</v>
      </c>
      <c r="K13" s="3">
        <v>38300</v>
      </c>
      <c r="L13" s="3">
        <v>45082</v>
      </c>
      <c r="M13" s="2">
        <f t="shared" si="5"/>
        <v>18.580821917808219</v>
      </c>
      <c r="N13">
        <f t="shared" si="6"/>
        <v>-2.339325479452055</v>
      </c>
      <c r="O13">
        <v>6.3</v>
      </c>
      <c r="P13">
        <f t="shared" si="7"/>
        <v>3.9606745205479448</v>
      </c>
      <c r="Q13" s="1">
        <f>((P13-O13)/O13)</f>
        <v>-0.37132150467492936</v>
      </c>
      <c r="R13" t="s">
        <v>170</v>
      </c>
    </row>
    <row r="14" spans="1:18" x14ac:dyDescent="0.25">
      <c r="A14" t="s">
        <v>35</v>
      </c>
      <c r="B14" t="s">
        <v>11</v>
      </c>
      <c r="C14" t="s">
        <v>12</v>
      </c>
      <c r="D14" t="s">
        <v>13</v>
      </c>
      <c r="E14" s="4" t="s">
        <v>14</v>
      </c>
      <c r="F14" t="s">
        <v>23</v>
      </c>
      <c r="G14" t="s">
        <v>15</v>
      </c>
      <c r="H14">
        <v>77</v>
      </c>
      <c r="I14" t="s">
        <v>33</v>
      </c>
      <c r="J14" t="s">
        <v>17</v>
      </c>
      <c r="K14" s="3">
        <v>37783</v>
      </c>
      <c r="L14" s="3">
        <v>44886</v>
      </c>
      <c r="M14" s="2">
        <f t="shared" si="5"/>
        <v>19.460273972602739</v>
      </c>
      <c r="N14" t="e">
        <f t="shared" si="6"/>
        <v>#VALUE!</v>
      </c>
      <c r="O14" t="s">
        <v>15</v>
      </c>
      <c r="P14" t="e">
        <f t="shared" si="7"/>
        <v>#VALUE!</v>
      </c>
      <c r="Q14" s="1" t="e">
        <f>((P14-O14)/P14)</f>
        <v>#VALUE!</v>
      </c>
      <c r="R14" t="s">
        <v>133</v>
      </c>
    </row>
    <row r="15" spans="1:18" x14ac:dyDescent="0.25">
      <c r="A15" t="s">
        <v>35</v>
      </c>
      <c r="B15" t="s">
        <v>11</v>
      </c>
      <c r="C15" t="s">
        <v>296</v>
      </c>
      <c r="D15" t="s">
        <v>24</v>
      </c>
      <c r="E15" s="4" t="s">
        <v>22</v>
      </c>
      <c r="F15" t="s">
        <v>23</v>
      </c>
      <c r="G15">
        <v>8.8669999999999999E-3</v>
      </c>
      <c r="H15">
        <v>83</v>
      </c>
      <c r="I15" t="s">
        <v>16</v>
      </c>
      <c r="J15" t="s">
        <v>17</v>
      </c>
      <c r="K15" s="3">
        <v>36446</v>
      </c>
      <c r="L15" s="3">
        <v>44886</v>
      </c>
      <c r="M15" s="2">
        <f t="shared" si="5"/>
        <v>23.123287671232877</v>
      </c>
      <c r="N15">
        <f t="shared" si="6"/>
        <v>0.20503419178082191</v>
      </c>
      <c r="O15">
        <v>0.85</v>
      </c>
      <c r="P15">
        <f t="shared" si="7"/>
        <v>1.0550341917808219</v>
      </c>
      <c r="Q15" s="1">
        <f>((P15-O15)/O15)</f>
        <v>0.2412166962127317</v>
      </c>
      <c r="R15" t="s">
        <v>147</v>
      </c>
    </row>
    <row r="16" spans="1:18" x14ac:dyDescent="0.25">
      <c r="A16" t="s">
        <v>35</v>
      </c>
      <c r="B16" t="s">
        <v>11</v>
      </c>
      <c r="C16" t="s">
        <v>18</v>
      </c>
      <c r="D16" t="s">
        <v>19</v>
      </c>
      <c r="E16" s="4" t="s">
        <v>34</v>
      </c>
      <c r="F16" t="s">
        <v>29</v>
      </c>
      <c r="G16">
        <v>-1.244</v>
      </c>
      <c r="H16">
        <v>74</v>
      </c>
      <c r="I16" t="s">
        <v>17</v>
      </c>
      <c r="J16" t="s">
        <v>17</v>
      </c>
      <c r="K16" s="3">
        <v>38420</v>
      </c>
      <c r="L16" s="3">
        <v>44886</v>
      </c>
      <c r="M16" s="2">
        <f t="shared" si="5"/>
        <v>17.715068493150685</v>
      </c>
      <c r="N16">
        <f t="shared" si="6"/>
        <v>-22.037545205479454</v>
      </c>
      <c r="O16">
        <v>65</v>
      </c>
      <c r="P16">
        <f t="shared" si="7"/>
        <v>42.962454794520546</v>
      </c>
      <c r="Q16" s="1">
        <f>((P16-O16)/O16)</f>
        <v>-0.33903915700737619</v>
      </c>
      <c r="R16" t="s">
        <v>144</v>
      </c>
    </row>
    <row r="17" spans="1:18" x14ac:dyDescent="0.25">
      <c r="A17" t="s">
        <v>35</v>
      </c>
      <c r="B17" t="s">
        <v>11</v>
      </c>
      <c r="C17" t="s">
        <v>20</v>
      </c>
      <c r="D17" t="s">
        <v>21</v>
      </c>
      <c r="E17" t="s">
        <v>22</v>
      </c>
      <c r="F17" t="s">
        <v>23</v>
      </c>
      <c r="G17" s="2">
        <v>1.59</v>
      </c>
      <c r="H17">
        <v>82</v>
      </c>
      <c r="I17" t="s">
        <v>17</v>
      </c>
      <c r="J17" t="s">
        <v>17</v>
      </c>
      <c r="K17" s="3">
        <v>36446</v>
      </c>
      <c r="L17" s="3">
        <v>44877</v>
      </c>
      <c r="M17" s="2">
        <f t="shared" si="5"/>
        <v>23.098630136986301</v>
      </c>
      <c r="N17">
        <f t="shared" si="6"/>
        <v>36.726821917808223</v>
      </c>
      <c r="O17">
        <v>390</v>
      </c>
      <c r="P17">
        <f t="shared" si="7"/>
        <v>426.72682191780825</v>
      </c>
      <c r="Q17" s="1">
        <f>((P17-O17)/O17)</f>
        <v>9.4171338250790396E-2</v>
      </c>
    </row>
    <row r="18" spans="1:18" x14ac:dyDescent="0.25">
      <c r="A18" t="s">
        <v>35</v>
      </c>
      <c r="B18" t="s">
        <v>11</v>
      </c>
      <c r="C18" t="s">
        <v>25</v>
      </c>
      <c r="D18" t="s">
        <v>24</v>
      </c>
      <c r="E18" s="4" t="s">
        <v>22</v>
      </c>
      <c r="F18" t="s">
        <v>23</v>
      </c>
      <c r="G18">
        <v>8.4020000000000004E-4</v>
      </c>
      <c r="H18">
        <v>83</v>
      </c>
      <c r="I18" t="s">
        <v>17</v>
      </c>
      <c r="J18" t="s">
        <v>17</v>
      </c>
      <c r="K18" s="3">
        <v>36446</v>
      </c>
      <c r="L18" s="3">
        <v>44886</v>
      </c>
      <c r="M18" s="2">
        <f t="shared" si="5"/>
        <v>23.123287671232877</v>
      </c>
      <c r="N18">
        <f t="shared" si="6"/>
        <v>1.9428186301369863E-2</v>
      </c>
      <c r="O18">
        <v>7.0000000000000007E-2</v>
      </c>
      <c r="P18">
        <f t="shared" si="7"/>
        <v>8.9428186301369866E-2</v>
      </c>
      <c r="Q18" s="1">
        <f>((P18-O18)/O18)</f>
        <v>0.27754551859099796</v>
      </c>
      <c r="R18" t="s">
        <v>142</v>
      </c>
    </row>
    <row r="19" spans="1:18" x14ac:dyDescent="0.25">
      <c r="A19" t="s">
        <v>35</v>
      </c>
      <c r="B19" t="s">
        <v>11</v>
      </c>
      <c r="C19" t="s">
        <v>26</v>
      </c>
      <c r="D19" t="s">
        <v>27</v>
      </c>
      <c r="E19" t="s">
        <v>14</v>
      </c>
      <c r="F19" t="s">
        <v>15</v>
      </c>
      <c r="G19" t="s">
        <v>15</v>
      </c>
      <c r="H19">
        <v>78</v>
      </c>
      <c r="I19" t="s">
        <v>16</v>
      </c>
      <c r="J19" t="s">
        <v>16</v>
      </c>
      <c r="K19" s="3">
        <v>38239</v>
      </c>
      <c r="L19" s="3">
        <v>44886</v>
      </c>
      <c r="M19" s="2">
        <f t="shared" si="5"/>
        <v>18.210958904109589</v>
      </c>
      <c r="N19" t="e">
        <f t="shared" si="6"/>
        <v>#VALUE!</v>
      </c>
      <c r="O19" t="s">
        <v>15</v>
      </c>
      <c r="P19" t="e">
        <f t="shared" si="7"/>
        <v>#VALUE!</v>
      </c>
      <c r="Q19" s="1" t="e">
        <f>((P19-O19)/P19)</f>
        <v>#VALUE!</v>
      </c>
      <c r="R19" t="s">
        <v>192</v>
      </c>
    </row>
    <row r="20" spans="1:18" x14ac:dyDescent="0.25">
      <c r="A20" t="s">
        <v>36</v>
      </c>
      <c r="B20" t="s">
        <v>11</v>
      </c>
      <c r="C20" t="s">
        <v>12</v>
      </c>
      <c r="D20" t="s">
        <v>13</v>
      </c>
      <c r="E20" t="s">
        <v>34</v>
      </c>
      <c r="F20" t="s">
        <v>29</v>
      </c>
      <c r="G20">
        <v>-0.28189999999999998</v>
      </c>
      <c r="H20">
        <v>32</v>
      </c>
      <c r="I20" t="s">
        <v>33</v>
      </c>
      <c r="J20" t="s">
        <v>17</v>
      </c>
      <c r="K20" s="3">
        <v>37474</v>
      </c>
      <c r="L20" s="3">
        <v>44873</v>
      </c>
      <c r="M20" s="2">
        <f t="shared" si="5"/>
        <v>20.271232876712329</v>
      </c>
      <c r="N20">
        <f t="shared" si="6"/>
        <v>-5.7144605479452055</v>
      </c>
      <c r="O20">
        <v>10</v>
      </c>
      <c r="P20">
        <f t="shared" si="7"/>
        <v>4.2855394520547945</v>
      </c>
      <c r="Q20" s="1">
        <f>((P20-O20)/O20)</f>
        <v>-0.5714460547945206</v>
      </c>
      <c r="R20" t="s">
        <v>134</v>
      </c>
    </row>
    <row r="21" spans="1:18" x14ac:dyDescent="0.25">
      <c r="A21" t="s">
        <v>36</v>
      </c>
      <c r="B21" t="s">
        <v>11</v>
      </c>
      <c r="C21" t="s">
        <v>296</v>
      </c>
      <c r="D21" t="s">
        <v>24</v>
      </c>
      <c r="E21" s="4" t="s">
        <v>14</v>
      </c>
      <c r="F21" t="s">
        <v>15</v>
      </c>
      <c r="G21" t="s">
        <v>15</v>
      </c>
      <c r="H21">
        <v>44</v>
      </c>
      <c r="I21" t="s">
        <v>17</v>
      </c>
      <c r="J21" t="s">
        <v>17</v>
      </c>
      <c r="K21" s="3">
        <v>37200</v>
      </c>
      <c r="L21" s="3">
        <v>44949</v>
      </c>
      <c r="M21" s="2">
        <f t="shared" si="5"/>
        <v>21.230136986301371</v>
      </c>
      <c r="N21" t="e">
        <f t="shared" si="6"/>
        <v>#VALUE!</v>
      </c>
      <c r="O21" t="s">
        <v>15</v>
      </c>
      <c r="P21" t="e">
        <f t="shared" si="7"/>
        <v>#VALUE!</v>
      </c>
      <c r="Q21" s="1" t="e">
        <f>((P21-O21)/P21)</f>
        <v>#VALUE!</v>
      </c>
      <c r="R21" t="s">
        <v>155</v>
      </c>
    </row>
    <row r="22" spans="1:18" x14ac:dyDescent="0.25">
      <c r="A22" t="s">
        <v>36</v>
      </c>
      <c r="B22" t="s">
        <v>11</v>
      </c>
      <c r="C22" t="s">
        <v>18</v>
      </c>
      <c r="D22" t="s">
        <v>19</v>
      </c>
      <c r="E22" t="s">
        <v>14</v>
      </c>
      <c r="F22" t="s">
        <v>15</v>
      </c>
      <c r="G22" t="s">
        <v>15</v>
      </c>
      <c r="H22">
        <v>20</v>
      </c>
      <c r="I22" t="s">
        <v>17</v>
      </c>
      <c r="J22" t="s">
        <v>17</v>
      </c>
      <c r="K22" s="3">
        <v>38328</v>
      </c>
      <c r="L22" s="3">
        <v>44873</v>
      </c>
      <c r="M22" s="2">
        <f t="shared" si="5"/>
        <v>17.931506849315067</v>
      </c>
      <c r="N22" t="e">
        <f t="shared" si="6"/>
        <v>#VALUE!</v>
      </c>
      <c r="O22" t="s">
        <v>15</v>
      </c>
      <c r="P22" t="e">
        <f t="shared" si="7"/>
        <v>#VALUE!</v>
      </c>
      <c r="Q22" s="1" t="e">
        <f>((P22-O22)/P22)</f>
        <v>#VALUE!</v>
      </c>
    </row>
    <row r="23" spans="1:18" x14ac:dyDescent="0.25">
      <c r="A23" t="s">
        <v>36</v>
      </c>
      <c r="B23" t="s">
        <v>11</v>
      </c>
      <c r="C23" t="s">
        <v>20</v>
      </c>
      <c r="D23" t="s">
        <v>21</v>
      </c>
      <c r="E23" t="s">
        <v>22</v>
      </c>
      <c r="F23" t="s">
        <v>23</v>
      </c>
      <c r="G23" s="2">
        <v>1.8080000000000001</v>
      </c>
      <c r="H23">
        <v>41</v>
      </c>
      <c r="I23" t="s">
        <v>16</v>
      </c>
      <c r="J23" t="s">
        <v>31</v>
      </c>
      <c r="K23" s="3">
        <v>35648</v>
      </c>
      <c r="L23" s="3">
        <v>44988</v>
      </c>
      <c r="M23" s="2">
        <f t="shared" si="5"/>
        <v>25.589041095890412</v>
      </c>
      <c r="N23">
        <f t="shared" si="6"/>
        <v>46.264986301369866</v>
      </c>
      <c r="O23">
        <v>65</v>
      </c>
      <c r="P23">
        <f t="shared" si="7"/>
        <v>111.26498630136987</v>
      </c>
      <c r="Q23" s="1">
        <f>((P23-O23)/O23)</f>
        <v>0.71176902002107501</v>
      </c>
      <c r="R23" t="s">
        <v>142</v>
      </c>
    </row>
    <row r="24" spans="1:18" x14ac:dyDescent="0.25">
      <c r="A24" t="s">
        <v>36</v>
      </c>
      <c r="B24" t="s">
        <v>11</v>
      </c>
      <c r="C24" t="s">
        <v>25</v>
      </c>
      <c r="D24" t="s">
        <v>24</v>
      </c>
      <c r="E24" s="4" t="s">
        <v>34</v>
      </c>
      <c r="F24" t="s">
        <v>29</v>
      </c>
      <c r="G24">
        <v>-1.1169999999999999E-3</v>
      </c>
      <c r="H24">
        <v>38</v>
      </c>
      <c r="I24" t="s">
        <v>17</v>
      </c>
      <c r="J24" t="s">
        <v>17</v>
      </c>
      <c r="K24" s="3">
        <v>37201</v>
      </c>
      <c r="L24" s="3">
        <v>44873</v>
      </c>
      <c r="M24" s="2">
        <f t="shared" si="5"/>
        <v>21.019178082191782</v>
      </c>
      <c r="N24">
        <f t="shared" si="6"/>
        <v>-2.3478421917808221E-2</v>
      </c>
      <c r="O24">
        <v>0.08</v>
      </c>
      <c r="P24">
        <f t="shared" si="7"/>
        <v>5.6521578082191784E-2</v>
      </c>
      <c r="Q24" s="1">
        <f>((P24-O24)/O24)</f>
        <v>-0.29348027397260273</v>
      </c>
    </row>
    <row r="25" spans="1:18" x14ac:dyDescent="0.25">
      <c r="A25" t="s">
        <v>36</v>
      </c>
      <c r="B25" t="s">
        <v>11</v>
      </c>
      <c r="C25" t="s">
        <v>26</v>
      </c>
      <c r="D25" t="s">
        <v>27</v>
      </c>
      <c r="E25" t="s">
        <v>14</v>
      </c>
      <c r="F25" t="s">
        <v>15</v>
      </c>
      <c r="G25" t="s">
        <v>15</v>
      </c>
      <c r="H25">
        <v>24</v>
      </c>
      <c r="I25" t="s">
        <v>17</v>
      </c>
      <c r="J25" t="s">
        <v>17</v>
      </c>
      <c r="K25" s="3">
        <v>38328</v>
      </c>
      <c r="L25" s="3">
        <v>44873</v>
      </c>
      <c r="M25" s="2">
        <f t="shared" si="5"/>
        <v>17.931506849315067</v>
      </c>
      <c r="N25" t="e">
        <f t="shared" si="6"/>
        <v>#VALUE!</v>
      </c>
      <c r="O25" t="s">
        <v>15</v>
      </c>
      <c r="P25" t="e">
        <f t="shared" si="7"/>
        <v>#VALUE!</v>
      </c>
      <c r="Q25" s="1" t="e">
        <f>((P25-O25)/P25)</f>
        <v>#VALUE!</v>
      </c>
    </row>
    <row r="26" spans="1:18" x14ac:dyDescent="0.25">
      <c r="A26" t="s">
        <v>37</v>
      </c>
      <c r="B26" t="s">
        <v>11</v>
      </c>
      <c r="C26" t="s">
        <v>12</v>
      </c>
      <c r="D26" t="s">
        <v>13</v>
      </c>
      <c r="E26" s="4" t="s">
        <v>22</v>
      </c>
      <c r="F26" t="s">
        <v>23</v>
      </c>
      <c r="G26">
        <v>0.45490000000000003</v>
      </c>
      <c r="H26">
        <v>35</v>
      </c>
      <c r="I26" t="s">
        <v>17</v>
      </c>
      <c r="J26" t="s">
        <v>17</v>
      </c>
      <c r="K26" s="3">
        <v>37315</v>
      </c>
      <c r="L26" s="3">
        <v>44911</v>
      </c>
      <c r="M26" s="2">
        <f t="shared" si="5"/>
        <v>20.81095890410959</v>
      </c>
      <c r="N26">
        <f t="shared" si="6"/>
        <v>9.4669052054794527</v>
      </c>
      <c r="O26">
        <v>9</v>
      </c>
      <c r="P26">
        <f t="shared" si="7"/>
        <v>18.466905205479453</v>
      </c>
      <c r="Q26" s="1">
        <f>((P26-O26)/O26)</f>
        <v>1.0518783561643836</v>
      </c>
    </row>
    <row r="27" spans="1:18" x14ac:dyDescent="0.25">
      <c r="A27" t="s">
        <v>37</v>
      </c>
      <c r="B27" t="s">
        <v>11</v>
      </c>
      <c r="C27" t="s">
        <v>296</v>
      </c>
      <c r="D27" t="s">
        <v>24</v>
      </c>
      <c r="E27" s="5" t="s">
        <v>40</v>
      </c>
      <c r="F27" t="s">
        <v>23</v>
      </c>
      <c r="G27">
        <v>5.6690000000000004E-3</v>
      </c>
      <c r="H27">
        <v>35</v>
      </c>
      <c r="I27" t="s">
        <v>17</v>
      </c>
      <c r="J27" t="s">
        <v>16</v>
      </c>
      <c r="K27" s="3">
        <v>37228</v>
      </c>
      <c r="L27" s="3">
        <v>44874</v>
      </c>
      <c r="M27" s="2">
        <f t="shared" si="5"/>
        <v>20.947945205479453</v>
      </c>
      <c r="N27">
        <f t="shared" si="6"/>
        <v>0.11875390136986302</v>
      </c>
      <c r="O27">
        <v>0.9</v>
      </c>
      <c r="P27">
        <f t="shared" si="7"/>
        <v>1.018753901369863</v>
      </c>
      <c r="Q27" s="1">
        <f>((P27-O27)/O27)</f>
        <v>0.13194877929984775</v>
      </c>
      <c r="R27" t="s">
        <v>156</v>
      </c>
    </row>
    <row r="28" spans="1:18" x14ac:dyDescent="0.25">
      <c r="A28" t="s">
        <v>37</v>
      </c>
      <c r="B28" t="s">
        <v>11</v>
      </c>
      <c r="C28" t="s">
        <v>18</v>
      </c>
      <c r="D28" t="s">
        <v>19</v>
      </c>
      <c r="E28" s="4" t="s">
        <v>22</v>
      </c>
      <c r="F28" t="s">
        <v>23</v>
      </c>
      <c r="G28">
        <v>2.0739999999999998</v>
      </c>
      <c r="H28">
        <v>26</v>
      </c>
      <c r="I28" t="s">
        <v>31</v>
      </c>
      <c r="J28" t="s">
        <v>16</v>
      </c>
      <c r="K28" s="3">
        <v>40149</v>
      </c>
      <c r="L28" s="3">
        <v>44874</v>
      </c>
      <c r="M28" s="2">
        <f t="shared" si="5"/>
        <v>12.945205479452055</v>
      </c>
      <c r="N28">
        <f t="shared" si="6"/>
        <v>26.84835616438356</v>
      </c>
      <c r="O28">
        <v>39.5</v>
      </c>
      <c r="P28">
        <f t="shared" si="7"/>
        <v>66.34835616438356</v>
      </c>
      <c r="Q28" s="1">
        <f>((P28-O28)/O28)</f>
        <v>0.67970521935148254</v>
      </c>
      <c r="R28" t="s">
        <v>147</v>
      </c>
    </row>
    <row r="29" spans="1:18" x14ac:dyDescent="0.25">
      <c r="A29" t="s">
        <v>37</v>
      </c>
      <c r="B29" t="s">
        <v>11</v>
      </c>
      <c r="C29" t="s">
        <v>20</v>
      </c>
      <c r="D29" t="s">
        <v>21</v>
      </c>
      <c r="E29" t="s">
        <v>14</v>
      </c>
      <c r="F29" t="s">
        <v>15</v>
      </c>
      <c r="G29" s="2" t="s">
        <v>15</v>
      </c>
      <c r="H29">
        <v>34</v>
      </c>
      <c r="I29" t="s">
        <v>31</v>
      </c>
      <c r="J29" t="s">
        <v>16</v>
      </c>
      <c r="K29" s="3">
        <v>37228</v>
      </c>
      <c r="L29" s="3">
        <v>44950</v>
      </c>
      <c r="M29" s="2">
        <f t="shared" si="5"/>
        <v>21.156164383561645</v>
      </c>
      <c r="N29" t="e">
        <f t="shared" si="6"/>
        <v>#VALUE!</v>
      </c>
      <c r="O29" t="s">
        <v>15</v>
      </c>
      <c r="P29" t="e">
        <f t="shared" si="7"/>
        <v>#VALUE!</v>
      </c>
      <c r="Q29" s="1" t="e">
        <f>((P29-O29)/P29)</f>
        <v>#VALUE!</v>
      </c>
      <c r="R29" t="s">
        <v>196</v>
      </c>
    </row>
    <row r="30" spans="1:18" x14ac:dyDescent="0.25">
      <c r="A30" t="s">
        <v>37</v>
      </c>
      <c r="B30" t="s">
        <v>11</v>
      </c>
      <c r="C30" t="s">
        <v>25</v>
      </c>
      <c r="D30" t="s">
        <v>24</v>
      </c>
      <c r="E30" t="s">
        <v>14</v>
      </c>
      <c r="F30" t="s">
        <v>15</v>
      </c>
      <c r="G30" t="s">
        <v>15</v>
      </c>
      <c r="H30">
        <v>35</v>
      </c>
      <c r="I30" t="s">
        <v>17</v>
      </c>
      <c r="J30" t="s">
        <v>16</v>
      </c>
      <c r="K30" s="3">
        <v>37228</v>
      </c>
      <c r="L30" s="3">
        <v>44874</v>
      </c>
      <c r="M30" s="2">
        <f t="shared" si="5"/>
        <v>20.947945205479453</v>
      </c>
      <c r="N30" t="e">
        <f t="shared" si="6"/>
        <v>#VALUE!</v>
      </c>
      <c r="O30" t="s">
        <v>15</v>
      </c>
      <c r="P30" t="e">
        <f t="shared" si="7"/>
        <v>#VALUE!</v>
      </c>
      <c r="Q30" s="1" t="e">
        <f>((P30-O30)/P30)</f>
        <v>#VALUE!</v>
      </c>
    </row>
    <row r="31" spans="1:18" x14ac:dyDescent="0.25">
      <c r="A31" t="s">
        <v>37</v>
      </c>
      <c r="B31" t="s">
        <v>11</v>
      </c>
      <c r="C31" t="s">
        <v>26</v>
      </c>
      <c r="D31" t="s">
        <v>27</v>
      </c>
      <c r="E31" s="4" t="s">
        <v>34</v>
      </c>
      <c r="F31" t="s">
        <v>29</v>
      </c>
      <c r="G31">
        <v>-0.61719999999999997</v>
      </c>
      <c r="H31">
        <v>26</v>
      </c>
      <c r="I31" t="s">
        <v>17</v>
      </c>
      <c r="J31" t="s">
        <v>16</v>
      </c>
      <c r="K31" s="3">
        <v>40149</v>
      </c>
      <c r="L31" s="3">
        <v>44897</v>
      </c>
      <c r="M31" s="2">
        <f t="shared" si="5"/>
        <v>13.008219178082191</v>
      </c>
      <c r="N31">
        <f t="shared" si="6"/>
        <v>-8.0286728767123279</v>
      </c>
      <c r="O31">
        <v>20.5</v>
      </c>
      <c r="P31">
        <f t="shared" si="7"/>
        <v>12.471327123287672</v>
      </c>
      <c r="Q31" s="1">
        <f>((P31-O31)/O31)</f>
        <v>-0.3916425793518209</v>
      </c>
    </row>
    <row r="32" spans="1:18" x14ac:dyDescent="0.25">
      <c r="A32" t="s">
        <v>39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15</v>
      </c>
      <c r="H32">
        <v>30</v>
      </c>
      <c r="I32" t="s">
        <v>16</v>
      </c>
      <c r="J32" t="s">
        <v>31</v>
      </c>
      <c r="K32" s="3">
        <v>37781</v>
      </c>
      <c r="L32" s="3">
        <v>44466</v>
      </c>
      <c r="M32" s="2">
        <f t="shared" si="5"/>
        <v>18.315068493150687</v>
      </c>
      <c r="N32" t="e">
        <f t="shared" si="6"/>
        <v>#VALUE!</v>
      </c>
      <c r="O32" t="s">
        <v>15</v>
      </c>
      <c r="P32" t="e">
        <f t="shared" si="7"/>
        <v>#VALUE!</v>
      </c>
      <c r="Q32" s="1" t="e">
        <f>((P32-O32)/P32)</f>
        <v>#VALUE!</v>
      </c>
    </row>
    <row r="33" spans="1:18" x14ac:dyDescent="0.25">
      <c r="A33" t="s">
        <v>39</v>
      </c>
      <c r="B33" t="s">
        <v>11</v>
      </c>
      <c r="C33" t="s">
        <v>296</v>
      </c>
      <c r="D33" t="s">
        <v>24</v>
      </c>
      <c r="E33" s="4" t="s">
        <v>22</v>
      </c>
      <c r="F33" t="s">
        <v>23</v>
      </c>
      <c r="G33">
        <v>8.0590000000000002E-3</v>
      </c>
      <c r="H33">
        <v>36</v>
      </c>
      <c r="I33" t="s">
        <v>31</v>
      </c>
      <c r="J33" t="s">
        <v>17</v>
      </c>
      <c r="K33" s="3">
        <v>36452</v>
      </c>
      <c r="L33" s="3">
        <v>44506</v>
      </c>
      <c r="M33" s="2">
        <f t="shared" si="5"/>
        <v>22.065753424657533</v>
      </c>
      <c r="N33">
        <f t="shared" si="6"/>
        <v>0.17782790684931507</v>
      </c>
      <c r="O33">
        <v>0.6</v>
      </c>
      <c r="P33">
        <f t="shared" si="7"/>
        <v>0.77782790684931502</v>
      </c>
      <c r="Q33" s="1">
        <f>((P33-O33)/O33)</f>
        <v>0.29637984474885842</v>
      </c>
      <c r="R33" t="s">
        <v>147</v>
      </c>
    </row>
    <row r="34" spans="1:18" x14ac:dyDescent="0.25">
      <c r="A34" t="s">
        <v>39</v>
      </c>
      <c r="B34" t="s">
        <v>11</v>
      </c>
      <c r="C34" t="s">
        <v>18</v>
      </c>
      <c r="D34" t="s">
        <v>19</v>
      </c>
      <c r="E34" t="s">
        <v>14</v>
      </c>
      <c r="F34" t="s">
        <v>15</v>
      </c>
      <c r="G34" t="s">
        <v>15</v>
      </c>
      <c r="H34">
        <v>21</v>
      </c>
      <c r="I34" t="s">
        <v>16</v>
      </c>
      <c r="J34" t="s">
        <v>17</v>
      </c>
      <c r="K34" s="3">
        <v>39315</v>
      </c>
      <c r="L34" s="3">
        <v>44466</v>
      </c>
      <c r="M34" s="2">
        <f t="shared" si="5"/>
        <v>14.112328767123287</v>
      </c>
      <c r="N34" t="e">
        <f t="shared" si="6"/>
        <v>#VALUE!</v>
      </c>
      <c r="O34" t="s">
        <v>15</v>
      </c>
      <c r="P34" t="e">
        <f t="shared" si="7"/>
        <v>#VALUE!</v>
      </c>
      <c r="Q34" s="1" t="e">
        <f>((P34-O34)/P34)</f>
        <v>#VALUE!</v>
      </c>
    </row>
    <row r="35" spans="1:18" x14ac:dyDescent="0.25">
      <c r="A35" t="s">
        <v>39</v>
      </c>
      <c r="B35" t="s">
        <v>11</v>
      </c>
      <c r="C35" t="s">
        <v>20</v>
      </c>
      <c r="D35" t="s">
        <v>21</v>
      </c>
      <c r="E35" t="s">
        <v>38</v>
      </c>
      <c r="F35" t="s">
        <v>23</v>
      </c>
      <c r="G35" s="2">
        <v>1.72</v>
      </c>
      <c r="H35">
        <v>38</v>
      </c>
      <c r="I35" t="s">
        <v>16</v>
      </c>
      <c r="J35" t="s">
        <v>16</v>
      </c>
      <c r="K35" s="3">
        <v>36452</v>
      </c>
      <c r="L35" s="3">
        <v>44506</v>
      </c>
      <c r="M35" s="2">
        <f t="shared" si="5"/>
        <v>22.065753424657533</v>
      </c>
      <c r="N35">
        <f t="shared" si="6"/>
        <v>37.953095890410957</v>
      </c>
      <c r="O35">
        <v>140</v>
      </c>
      <c r="P35">
        <f t="shared" si="7"/>
        <v>177.95309589041096</v>
      </c>
      <c r="Q35" s="1">
        <f>((P35-O35)/O35)</f>
        <v>0.27109354207436404</v>
      </c>
      <c r="R35" t="s">
        <v>170</v>
      </c>
    </row>
    <row r="36" spans="1:18" x14ac:dyDescent="0.25">
      <c r="A36" t="s">
        <v>39</v>
      </c>
      <c r="B36" t="s">
        <v>11</v>
      </c>
      <c r="C36" t="s">
        <v>25</v>
      </c>
      <c r="D36" t="s">
        <v>24</v>
      </c>
      <c r="E36" t="s">
        <v>14</v>
      </c>
      <c r="F36" t="s">
        <v>15</v>
      </c>
      <c r="G36" t="s">
        <v>15</v>
      </c>
      <c r="H36">
        <v>36</v>
      </c>
      <c r="I36" t="s">
        <v>31</v>
      </c>
      <c r="J36" t="s">
        <v>17</v>
      </c>
      <c r="K36" s="3">
        <v>36452</v>
      </c>
      <c r="L36" s="3">
        <v>37158</v>
      </c>
      <c r="M36" s="2">
        <f t="shared" si="5"/>
        <v>1.9342465753424658</v>
      </c>
      <c r="N36" t="e">
        <f t="shared" si="6"/>
        <v>#VALUE!</v>
      </c>
      <c r="O36" t="s">
        <v>15</v>
      </c>
      <c r="P36" t="e">
        <f t="shared" si="7"/>
        <v>#VALUE!</v>
      </c>
      <c r="Q36" s="1" t="e">
        <f>((P36-O36)/P36)</f>
        <v>#VALUE!</v>
      </c>
    </row>
    <row r="37" spans="1:18" x14ac:dyDescent="0.25">
      <c r="A37" t="s">
        <v>39</v>
      </c>
      <c r="B37" t="s">
        <v>11</v>
      </c>
      <c r="C37" t="s">
        <v>26</v>
      </c>
      <c r="D37" t="s">
        <v>27</v>
      </c>
      <c r="E37" t="s">
        <v>14</v>
      </c>
      <c r="F37" t="s">
        <v>15</v>
      </c>
      <c r="G37" t="s">
        <v>15</v>
      </c>
      <c r="H37">
        <v>28</v>
      </c>
      <c r="I37" t="s">
        <v>16</v>
      </c>
      <c r="J37" t="s">
        <v>17</v>
      </c>
      <c r="K37" s="3">
        <v>38250</v>
      </c>
      <c r="L37" s="3">
        <v>44466</v>
      </c>
      <c r="M37" s="2">
        <f t="shared" si="5"/>
        <v>17.030136986301368</v>
      </c>
      <c r="N37" t="e">
        <f t="shared" si="6"/>
        <v>#VALUE!</v>
      </c>
      <c r="O37" t="s">
        <v>15</v>
      </c>
      <c r="P37" t="e">
        <f t="shared" si="7"/>
        <v>#VALUE!</v>
      </c>
      <c r="Q37" s="1" t="e">
        <f>((P37-O37)/P37)</f>
        <v>#VALUE!</v>
      </c>
    </row>
    <row r="38" spans="1:18" x14ac:dyDescent="0.25">
      <c r="A38" t="s">
        <v>41</v>
      </c>
      <c r="B38" t="s">
        <v>11</v>
      </c>
      <c r="C38" t="s">
        <v>12</v>
      </c>
      <c r="D38" t="s">
        <v>13</v>
      </c>
      <c r="E38" s="5" t="s">
        <v>40</v>
      </c>
      <c r="F38" t="s">
        <v>23</v>
      </c>
      <c r="G38">
        <v>0.1032</v>
      </c>
      <c r="H38">
        <v>25</v>
      </c>
      <c r="I38" t="s">
        <v>31</v>
      </c>
      <c r="J38" t="s">
        <v>17</v>
      </c>
      <c r="K38" s="3">
        <v>37893</v>
      </c>
      <c r="L38" s="3">
        <v>43689</v>
      </c>
      <c r="M38" s="2">
        <f t="shared" si="5"/>
        <v>15.87945205479452</v>
      </c>
      <c r="N38">
        <f t="shared" si="6"/>
        <v>1.6387594520547943</v>
      </c>
      <c r="O38">
        <v>3.8</v>
      </c>
      <c r="P38">
        <f t="shared" si="7"/>
        <v>5.4387594520547946</v>
      </c>
      <c r="Q38" s="1">
        <f>((P38-O38)/O38)</f>
        <v>0.43125248738284078</v>
      </c>
      <c r="R38" t="s">
        <v>135</v>
      </c>
    </row>
    <row r="39" spans="1:18" x14ac:dyDescent="0.25">
      <c r="A39" t="s">
        <v>41</v>
      </c>
      <c r="B39" t="s">
        <v>11</v>
      </c>
      <c r="C39" t="s">
        <v>296</v>
      </c>
      <c r="D39" t="s">
        <v>24</v>
      </c>
      <c r="E39" s="4" t="s">
        <v>14</v>
      </c>
      <c r="F39" t="s">
        <v>15</v>
      </c>
      <c r="G39" t="s">
        <v>15</v>
      </c>
      <c r="H39">
        <v>35</v>
      </c>
      <c r="I39" t="s">
        <v>16</v>
      </c>
      <c r="J39" t="s">
        <v>17</v>
      </c>
      <c r="K39" s="3">
        <v>35913</v>
      </c>
      <c r="L39" s="3">
        <v>43689</v>
      </c>
      <c r="M39" s="2">
        <f t="shared" si="5"/>
        <v>21.304109589041097</v>
      </c>
      <c r="N39" t="e">
        <f t="shared" si="6"/>
        <v>#VALUE!</v>
      </c>
      <c r="O39" t="s">
        <v>15</v>
      </c>
      <c r="P39" t="e">
        <f t="shared" si="7"/>
        <v>#VALUE!</v>
      </c>
      <c r="Q39" s="1" t="e">
        <f>((P39-O39)/P39)</f>
        <v>#VALUE!</v>
      </c>
      <c r="R39" t="s">
        <v>155</v>
      </c>
    </row>
    <row r="40" spans="1:18" x14ac:dyDescent="0.25">
      <c r="A40" t="s">
        <v>41</v>
      </c>
      <c r="B40" t="s">
        <v>11</v>
      </c>
      <c r="C40" t="s">
        <v>18</v>
      </c>
      <c r="D40" t="s">
        <v>19</v>
      </c>
      <c r="E40" t="s">
        <v>14</v>
      </c>
      <c r="F40" t="s">
        <v>15</v>
      </c>
      <c r="G40" t="s">
        <v>15</v>
      </c>
      <c r="H40">
        <v>26</v>
      </c>
      <c r="I40" t="s">
        <v>17</v>
      </c>
      <c r="J40" t="s">
        <v>17</v>
      </c>
      <c r="K40" s="3">
        <v>37193</v>
      </c>
      <c r="L40" s="3">
        <v>43689</v>
      </c>
      <c r="M40" s="2">
        <f t="shared" si="5"/>
        <v>17.797260273972604</v>
      </c>
      <c r="N40" t="e">
        <f t="shared" si="6"/>
        <v>#VALUE!</v>
      </c>
      <c r="O40" t="s">
        <v>15</v>
      </c>
      <c r="P40" t="e">
        <f t="shared" si="7"/>
        <v>#VALUE!</v>
      </c>
      <c r="Q40" s="1" t="e">
        <f>((P40-O40)/P40)</f>
        <v>#VALUE!</v>
      </c>
      <c r="R40" t="s">
        <v>181</v>
      </c>
    </row>
    <row r="41" spans="1:18" x14ac:dyDescent="0.25">
      <c r="A41" t="s">
        <v>41</v>
      </c>
      <c r="B41" t="s">
        <v>11</v>
      </c>
      <c r="C41" t="s">
        <v>20</v>
      </c>
      <c r="D41" t="s">
        <v>21</v>
      </c>
      <c r="E41" t="s">
        <v>40</v>
      </c>
      <c r="F41" t="s">
        <v>23</v>
      </c>
      <c r="G41" s="2">
        <v>1.3819999999999999</v>
      </c>
      <c r="H41">
        <v>40</v>
      </c>
      <c r="I41" t="s">
        <v>16</v>
      </c>
      <c r="J41" t="s">
        <v>17</v>
      </c>
      <c r="K41" s="3">
        <v>35913</v>
      </c>
      <c r="L41" s="3">
        <v>45160</v>
      </c>
      <c r="M41" s="2">
        <f t="shared" si="5"/>
        <v>25.334246575342465</v>
      </c>
      <c r="N41">
        <f t="shared" si="6"/>
        <v>35.011928767123287</v>
      </c>
      <c r="O41">
        <v>255</v>
      </c>
      <c r="P41">
        <f t="shared" si="7"/>
        <v>290.01192876712327</v>
      </c>
      <c r="Q41" s="1">
        <f>((P41-O41)/O41)</f>
        <v>0.13730168143969909</v>
      </c>
      <c r="R41" t="s">
        <v>170</v>
      </c>
    </row>
    <row r="42" spans="1:18" x14ac:dyDescent="0.25">
      <c r="A42" t="s">
        <v>41</v>
      </c>
      <c r="B42" t="s">
        <v>11</v>
      </c>
      <c r="C42" t="s">
        <v>25</v>
      </c>
      <c r="D42" t="s">
        <v>24</v>
      </c>
      <c r="E42" t="s">
        <v>14</v>
      </c>
      <c r="F42" t="s">
        <v>15</v>
      </c>
      <c r="G42" t="s">
        <v>15</v>
      </c>
      <c r="H42">
        <v>35</v>
      </c>
      <c r="I42" t="s">
        <v>16</v>
      </c>
      <c r="J42" t="s">
        <v>17</v>
      </c>
      <c r="K42" s="3">
        <v>35913</v>
      </c>
      <c r="L42" s="3">
        <v>36384</v>
      </c>
      <c r="M42" s="2">
        <f t="shared" si="5"/>
        <v>1.2904109589041095</v>
      </c>
      <c r="N42" t="e">
        <f t="shared" si="6"/>
        <v>#VALUE!</v>
      </c>
      <c r="O42" t="s">
        <v>15</v>
      </c>
      <c r="P42" t="e">
        <f t="shared" si="7"/>
        <v>#VALUE!</v>
      </c>
      <c r="Q42" s="1" t="e">
        <f>((P42-O42)/P42)</f>
        <v>#VALUE!</v>
      </c>
      <c r="R42" t="s">
        <v>171</v>
      </c>
    </row>
    <row r="43" spans="1:18" x14ac:dyDescent="0.25">
      <c r="A43" t="s">
        <v>41</v>
      </c>
      <c r="B43" t="s">
        <v>11</v>
      </c>
      <c r="C43" t="s">
        <v>26</v>
      </c>
      <c r="D43" t="s">
        <v>27</v>
      </c>
      <c r="E43" t="s">
        <v>14</v>
      </c>
      <c r="F43" t="s">
        <v>15</v>
      </c>
      <c r="G43" t="s">
        <v>15</v>
      </c>
      <c r="H43">
        <v>26</v>
      </c>
      <c r="I43" t="s">
        <v>17</v>
      </c>
      <c r="J43" t="s">
        <v>17</v>
      </c>
      <c r="K43" s="3">
        <v>37193</v>
      </c>
      <c r="L43" s="3">
        <v>43689</v>
      </c>
      <c r="M43" s="2">
        <f t="shared" si="5"/>
        <v>17.797260273972604</v>
      </c>
      <c r="N43" t="e">
        <f t="shared" si="6"/>
        <v>#VALUE!</v>
      </c>
      <c r="O43" t="s">
        <v>15</v>
      </c>
      <c r="P43" t="e">
        <f t="shared" si="7"/>
        <v>#VALUE!</v>
      </c>
      <c r="Q43" s="1" t="e">
        <f>((P43-O43)/P43)</f>
        <v>#VALUE!</v>
      </c>
      <c r="R43" t="s">
        <v>181</v>
      </c>
    </row>
    <row r="44" spans="1:18" x14ac:dyDescent="0.25">
      <c r="A44" t="s">
        <v>42</v>
      </c>
      <c r="B44" t="s">
        <v>11</v>
      </c>
      <c r="C44" t="s">
        <v>12</v>
      </c>
      <c r="D44" t="s">
        <v>13</v>
      </c>
      <c r="E44" s="4" t="s">
        <v>22</v>
      </c>
      <c r="F44" t="s">
        <v>23</v>
      </c>
      <c r="G44">
        <v>1.8220000000000001</v>
      </c>
      <c r="H44">
        <v>19</v>
      </c>
      <c r="I44" t="s">
        <v>33</v>
      </c>
      <c r="J44" t="s">
        <v>17</v>
      </c>
      <c r="K44" s="3">
        <v>38244</v>
      </c>
      <c r="L44" s="3">
        <v>44082</v>
      </c>
      <c r="M44" s="2">
        <f t="shared" si="5"/>
        <v>15.994520547945205</v>
      </c>
      <c r="N44">
        <f t="shared" si="6"/>
        <v>29.142016438356166</v>
      </c>
      <c r="O44">
        <v>1</v>
      </c>
      <c r="P44">
        <f t="shared" si="7"/>
        <v>30.142016438356166</v>
      </c>
      <c r="Q44" s="1">
        <f>((P44-O44)/O44)</f>
        <v>29.142016438356166</v>
      </c>
    </row>
    <row r="45" spans="1:18" x14ac:dyDescent="0.25">
      <c r="A45" t="s">
        <v>42</v>
      </c>
      <c r="B45" t="s">
        <v>11</v>
      </c>
      <c r="C45" t="s">
        <v>296</v>
      </c>
      <c r="D45" t="s">
        <v>24</v>
      </c>
      <c r="E45" s="4" t="s">
        <v>22</v>
      </c>
      <c r="F45" t="s">
        <v>23</v>
      </c>
      <c r="G45">
        <v>3.141E-2</v>
      </c>
      <c r="H45">
        <v>22</v>
      </c>
      <c r="I45" t="s">
        <v>16</v>
      </c>
      <c r="J45" t="s">
        <v>16</v>
      </c>
      <c r="K45" s="3">
        <v>37188</v>
      </c>
      <c r="L45" s="3">
        <v>44116</v>
      </c>
      <c r="M45" s="2">
        <f t="shared" si="5"/>
        <v>18.980821917808218</v>
      </c>
      <c r="N45">
        <f t="shared" si="6"/>
        <v>0.59618761643835616</v>
      </c>
      <c r="O45">
        <v>0.6</v>
      </c>
      <c r="P45">
        <f t="shared" si="7"/>
        <v>1.196187616438356</v>
      </c>
      <c r="Q45" s="1">
        <f>((P45-O45)/O45)</f>
        <v>0.99364602739726016</v>
      </c>
      <c r="R45" t="s">
        <v>156</v>
      </c>
    </row>
    <row r="46" spans="1:18" x14ac:dyDescent="0.25">
      <c r="A46" t="s">
        <v>42</v>
      </c>
      <c r="B46" t="s">
        <v>11</v>
      </c>
      <c r="C46" t="s">
        <v>18</v>
      </c>
      <c r="D46" t="s">
        <v>19</v>
      </c>
      <c r="E46" t="s">
        <v>14</v>
      </c>
      <c r="F46" t="s">
        <v>15</v>
      </c>
      <c r="G46" t="s">
        <v>15</v>
      </c>
      <c r="H46">
        <v>14</v>
      </c>
      <c r="I46" t="s">
        <v>17</v>
      </c>
      <c r="J46" t="s">
        <v>17</v>
      </c>
      <c r="K46" s="3">
        <v>37188</v>
      </c>
      <c r="L46" s="3">
        <v>44082</v>
      </c>
      <c r="M46" s="2">
        <f t="shared" si="5"/>
        <v>18.887671232876713</v>
      </c>
      <c r="N46" t="e">
        <f t="shared" si="6"/>
        <v>#VALUE!</v>
      </c>
      <c r="O46" t="s">
        <v>15</v>
      </c>
      <c r="P46" t="e">
        <f t="shared" si="7"/>
        <v>#VALUE!</v>
      </c>
      <c r="Q46" s="1" t="e">
        <f>((P46-O46)/P46)</f>
        <v>#VALUE!</v>
      </c>
    </row>
    <row r="47" spans="1:18" x14ac:dyDescent="0.25">
      <c r="A47" t="s">
        <v>42</v>
      </c>
      <c r="B47" t="s">
        <v>11</v>
      </c>
      <c r="C47" t="s">
        <v>20</v>
      </c>
      <c r="D47" t="s">
        <v>21</v>
      </c>
      <c r="E47" t="s">
        <v>22</v>
      </c>
      <c r="F47" t="s">
        <v>23</v>
      </c>
      <c r="G47" s="2">
        <v>7.1879999999999997</v>
      </c>
      <c r="H47">
        <v>24</v>
      </c>
      <c r="I47" t="s">
        <v>17</v>
      </c>
      <c r="J47" t="s">
        <v>16</v>
      </c>
      <c r="K47" s="3">
        <v>37188</v>
      </c>
      <c r="L47" s="3">
        <v>44116</v>
      </c>
      <c r="M47" s="2">
        <f t="shared" si="5"/>
        <v>18.980821917808218</v>
      </c>
      <c r="N47">
        <f t="shared" si="6"/>
        <v>136.43414794520547</v>
      </c>
      <c r="O47">
        <v>250</v>
      </c>
      <c r="P47">
        <f t="shared" si="7"/>
        <v>386.4341479452055</v>
      </c>
      <c r="Q47" s="1">
        <f>((P47-O47)/O47)</f>
        <v>0.54573659178082201</v>
      </c>
      <c r="R47" t="s">
        <v>142</v>
      </c>
    </row>
    <row r="48" spans="1:18" x14ac:dyDescent="0.25">
      <c r="A48" t="s">
        <v>42</v>
      </c>
      <c r="B48" t="s">
        <v>11</v>
      </c>
      <c r="C48" t="s">
        <v>25</v>
      </c>
      <c r="D48" t="s">
        <v>24</v>
      </c>
      <c r="E48" s="4" t="s">
        <v>22</v>
      </c>
      <c r="F48" t="s">
        <v>23</v>
      </c>
      <c r="G48">
        <v>1.9469999999999999E-3</v>
      </c>
      <c r="H48">
        <v>22</v>
      </c>
      <c r="I48" t="s">
        <v>17</v>
      </c>
      <c r="J48" t="s">
        <v>31</v>
      </c>
      <c r="K48" s="3">
        <v>37188</v>
      </c>
      <c r="L48" s="3">
        <v>44082</v>
      </c>
      <c r="M48" s="2">
        <f t="shared" si="5"/>
        <v>18.887671232876713</v>
      </c>
      <c r="N48">
        <f t="shared" si="6"/>
        <v>3.6774295890410959E-2</v>
      </c>
      <c r="O48">
        <v>2.8000000000000001E-2</v>
      </c>
      <c r="P48">
        <f t="shared" si="7"/>
        <v>6.4774295890410963E-2</v>
      </c>
      <c r="Q48" s="1">
        <f>((P48-O48)/O48)</f>
        <v>1.3133677103718202</v>
      </c>
      <c r="R48" t="s">
        <v>147</v>
      </c>
    </row>
    <row r="49" spans="1:18" x14ac:dyDescent="0.25">
      <c r="A49" t="s">
        <v>42</v>
      </c>
      <c r="B49" t="s">
        <v>11</v>
      </c>
      <c r="C49" t="s">
        <v>26</v>
      </c>
      <c r="D49" t="s">
        <v>27</v>
      </c>
      <c r="E49" s="4" t="s">
        <v>28</v>
      </c>
      <c r="F49" t="s">
        <v>29</v>
      </c>
      <c r="G49">
        <v>-0.26769999999999999</v>
      </c>
      <c r="H49">
        <v>17</v>
      </c>
      <c r="I49" t="s">
        <v>17</v>
      </c>
      <c r="J49" t="s">
        <v>33</v>
      </c>
      <c r="K49" s="3">
        <v>37188</v>
      </c>
      <c r="L49" s="3">
        <v>44082</v>
      </c>
      <c r="M49" s="2">
        <f t="shared" si="5"/>
        <v>18.887671232876713</v>
      </c>
      <c r="N49">
        <f t="shared" si="6"/>
        <v>-5.056229589041096</v>
      </c>
      <c r="O49">
        <v>21</v>
      </c>
      <c r="P49">
        <f t="shared" si="7"/>
        <v>15.943770410958905</v>
      </c>
      <c r="Q49" s="1">
        <f>((P49-O49)/O49)</f>
        <v>-0.24077283757338547</v>
      </c>
    </row>
    <row r="50" spans="1:18" x14ac:dyDescent="0.25">
      <c r="A50" t="s">
        <v>43</v>
      </c>
      <c r="B50" t="s">
        <v>11</v>
      </c>
      <c r="C50" t="s">
        <v>12</v>
      </c>
      <c r="D50" t="s">
        <v>13</v>
      </c>
      <c r="E50" s="4" t="s">
        <v>22</v>
      </c>
      <c r="F50" t="s">
        <v>23</v>
      </c>
      <c r="G50">
        <v>0.20730000000000001</v>
      </c>
      <c r="H50">
        <v>30</v>
      </c>
      <c r="I50" t="s">
        <v>33</v>
      </c>
      <c r="J50" t="s">
        <v>17</v>
      </c>
      <c r="K50" s="3">
        <v>37928</v>
      </c>
      <c r="L50" s="3">
        <v>44485</v>
      </c>
      <c r="M50" s="2">
        <f t="shared" si="5"/>
        <v>17.964383561643835</v>
      </c>
      <c r="N50">
        <f t="shared" si="6"/>
        <v>3.7240167123287673</v>
      </c>
      <c r="O50">
        <v>1.5</v>
      </c>
      <c r="P50">
        <f t="shared" si="7"/>
        <v>5.2240167123287673</v>
      </c>
      <c r="Q50" s="1">
        <f>((P50-O50)/O50)</f>
        <v>2.4826778082191781</v>
      </c>
      <c r="R50" t="s">
        <v>136</v>
      </c>
    </row>
    <row r="51" spans="1:18" x14ac:dyDescent="0.25">
      <c r="A51" t="s">
        <v>297</v>
      </c>
      <c r="B51" t="s">
        <v>11</v>
      </c>
      <c r="C51" t="s">
        <v>296</v>
      </c>
      <c r="D51" t="s">
        <v>24</v>
      </c>
      <c r="E51" s="4" t="s">
        <v>14</v>
      </c>
      <c r="F51" t="s">
        <v>15</v>
      </c>
      <c r="G51" t="s">
        <v>15</v>
      </c>
      <c r="H51">
        <v>33</v>
      </c>
      <c r="I51" t="s">
        <v>16</v>
      </c>
      <c r="J51" t="s">
        <v>17</v>
      </c>
      <c r="K51" s="3">
        <v>36859</v>
      </c>
      <c r="L51" s="3">
        <v>44453</v>
      </c>
      <c r="M51" s="2">
        <f t="shared" si="5"/>
        <v>20.805479452054794</v>
      </c>
      <c r="N51" t="e">
        <f t="shared" si="6"/>
        <v>#VALUE!</v>
      </c>
      <c r="O51" t="s">
        <v>15</v>
      </c>
      <c r="P51" t="e">
        <f t="shared" si="7"/>
        <v>#VALUE!</v>
      </c>
      <c r="Q51" s="1" t="e">
        <f>((P51-O51)/P51)</f>
        <v>#VALUE!</v>
      </c>
      <c r="R51" t="s">
        <v>155</v>
      </c>
    </row>
    <row r="52" spans="1:18" x14ac:dyDescent="0.25">
      <c r="A52" t="s">
        <v>297</v>
      </c>
      <c r="B52" t="s">
        <v>11</v>
      </c>
      <c r="C52" t="s">
        <v>18</v>
      </c>
      <c r="D52" t="s">
        <v>19</v>
      </c>
      <c r="E52" t="s">
        <v>14</v>
      </c>
      <c r="F52" t="s">
        <v>15</v>
      </c>
      <c r="G52" t="s">
        <v>15</v>
      </c>
      <c r="H52">
        <v>28</v>
      </c>
      <c r="I52" t="s">
        <v>17</v>
      </c>
      <c r="J52" t="s">
        <v>17</v>
      </c>
      <c r="K52" s="3">
        <v>36859</v>
      </c>
      <c r="L52" s="3">
        <v>44404</v>
      </c>
      <c r="M52" s="2">
        <f t="shared" si="5"/>
        <v>20.671232876712327</v>
      </c>
      <c r="N52" t="e">
        <f t="shared" si="6"/>
        <v>#VALUE!</v>
      </c>
      <c r="O52" t="s">
        <v>15</v>
      </c>
      <c r="P52" t="e">
        <f t="shared" si="7"/>
        <v>#VALUE!</v>
      </c>
      <c r="Q52" s="1" t="e">
        <f>((P52-O52)/P52)</f>
        <v>#VALUE!</v>
      </c>
    </row>
    <row r="53" spans="1:18" x14ac:dyDescent="0.25">
      <c r="A53" t="s">
        <v>297</v>
      </c>
      <c r="B53" t="s">
        <v>11</v>
      </c>
      <c r="C53" t="s">
        <v>20</v>
      </c>
      <c r="D53" t="s">
        <v>21</v>
      </c>
      <c r="E53" t="s">
        <v>22</v>
      </c>
      <c r="F53" t="s">
        <v>23</v>
      </c>
      <c r="G53" s="2">
        <v>0.62009999999999998</v>
      </c>
      <c r="H53">
        <v>41</v>
      </c>
      <c r="I53" t="s">
        <v>16</v>
      </c>
      <c r="J53" t="s">
        <v>17</v>
      </c>
      <c r="K53" s="3">
        <v>36859</v>
      </c>
      <c r="L53" s="3">
        <v>45167</v>
      </c>
      <c r="M53" s="2">
        <f t="shared" si="5"/>
        <v>22.761643835616439</v>
      </c>
      <c r="N53">
        <f t="shared" si="6"/>
        <v>14.114495342465753</v>
      </c>
      <c r="O53">
        <v>24</v>
      </c>
      <c r="P53">
        <f t="shared" si="7"/>
        <v>38.114495342465752</v>
      </c>
      <c r="Q53" s="1">
        <f>((P53-O53)/O53)</f>
        <v>0.58810397260273961</v>
      </c>
      <c r="R53" t="s">
        <v>142</v>
      </c>
    </row>
    <row r="54" spans="1:18" x14ac:dyDescent="0.25">
      <c r="A54" t="s">
        <v>297</v>
      </c>
      <c r="B54" t="s">
        <v>11</v>
      </c>
      <c r="C54" t="s">
        <v>25</v>
      </c>
      <c r="D54" t="s">
        <v>24</v>
      </c>
      <c r="E54" t="s">
        <v>14</v>
      </c>
      <c r="F54" t="s">
        <v>15</v>
      </c>
      <c r="G54" t="s">
        <v>15</v>
      </c>
      <c r="H54">
        <v>27</v>
      </c>
      <c r="I54" t="s">
        <v>17</v>
      </c>
      <c r="J54" t="s">
        <v>17</v>
      </c>
      <c r="K54" s="3">
        <v>36859</v>
      </c>
      <c r="L54" s="3">
        <v>44404</v>
      </c>
      <c r="M54" s="2">
        <f t="shared" si="5"/>
        <v>20.671232876712327</v>
      </c>
      <c r="N54" t="e">
        <f t="shared" si="6"/>
        <v>#VALUE!</v>
      </c>
      <c r="O54" t="s">
        <v>15</v>
      </c>
      <c r="P54" t="e">
        <f t="shared" si="7"/>
        <v>#VALUE!</v>
      </c>
      <c r="Q54" s="1" t="e">
        <f>((P54-O54)/P54)</f>
        <v>#VALUE!</v>
      </c>
      <c r="R54" t="s">
        <v>171</v>
      </c>
    </row>
    <row r="55" spans="1:18" x14ac:dyDescent="0.25">
      <c r="A55" t="s">
        <v>297</v>
      </c>
      <c r="B55" t="s">
        <v>11</v>
      </c>
      <c r="C55" t="s">
        <v>26</v>
      </c>
      <c r="D55" t="s">
        <v>27</v>
      </c>
      <c r="E55" t="s">
        <v>14</v>
      </c>
      <c r="F55" t="s">
        <v>15</v>
      </c>
      <c r="G55" t="s">
        <v>15</v>
      </c>
      <c r="H55">
        <v>29</v>
      </c>
      <c r="I55" t="s">
        <v>17</v>
      </c>
      <c r="J55" t="s">
        <v>17</v>
      </c>
      <c r="K55" s="3">
        <v>36859</v>
      </c>
      <c r="L55" s="3">
        <v>44453</v>
      </c>
      <c r="M55" s="2">
        <f t="shared" si="5"/>
        <v>20.805479452054794</v>
      </c>
      <c r="N55" t="e">
        <f t="shared" si="6"/>
        <v>#VALUE!</v>
      </c>
      <c r="O55" t="s">
        <v>15</v>
      </c>
      <c r="P55" t="e">
        <f t="shared" si="7"/>
        <v>#VALUE!</v>
      </c>
      <c r="Q55" s="1" t="e">
        <f>((P55-O55)/P55)</f>
        <v>#VALUE!</v>
      </c>
      <c r="R55" t="s">
        <v>193</v>
      </c>
    </row>
    <row r="56" spans="1:18" x14ac:dyDescent="0.25">
      <c r="A56" s="5" t="s">
        <v>290</v>
      </c>
      <c r="B56" t="s">
        <v>11</v>
      </c>
      <c r="C56" t="s">
        <v>12</v>
      </c>
      <c r="D56" t="s">
        <v>13</v>
      </c>
      <c r="E56" s="4" t="s">
        <v>40</v>
      </c>
      <c r="F56" t="s">
        <v>23</v>
      </c>
      <c r="G56" s="6">
        <v>0.50370000000000004</v>
      </c>
      <c r="H56" s="6">
        <v>35</v>
      </c>
      <c r="I56" s="5" t="s">
        <v>16</v>
      </c>
      <c r="J56" s="5" t="s">
        <v>17</v>
      </c>
      <c r="K56" s="3">
        <v>36129</v>
      </c>
      <c r="L56" s="3">
        <v>43662</v>
      </c>
      <c r="M56" s="2">
        <f t="shared" si="5"/>
        <v>20.638356164383563</v>
      </c>
      <c r="N56">
        <f t="shared" si="6"/>
        <v>10.39554</v>
      </c>
      <c r="O56">
        <v>10</v>
      </c>
      <c r="P56">
        <f t="shared" si="7"/>
        <v>20.39554</v>
      </c>
      <c r="Q56" s="1">
        <f>((P56-O56)/O56)</f>
        <v>1.0395540000000001</v>
      </c>
    </row>
    <row r="57" spans="1:18" x14ac:dyDescent="0.25">
      <c r="A57" s="5" t="s">
        <v>290</v>
      </c>
      <c r="B57" t="s">
        <v>11</v>
      </c>
      <c r="C57" t="s">
        <v>296</v>
      </c>
      <c r="D57" t="s">
        <v>24</v>
      </c>
      <c r="E57" s="4" t="s">
        <v>22</v>
      </c>
      <c r="F57" t="s">
        <v>23</v>
      </c>
      <c r="G57">
        <v>1.5949999999999999E-2</v>
      </c>
      <c r="H57" s="6">
        <v>36</v>
      </c>
      <c r="I57" s="5" t="s">
        <v>16</v>
      </c>
      <c r="J57" s="5" t="s">
        <v>17</v>
      </c>
      <c r="K57" s="3">
        <v>36129</v>
      </c>
      <c r="L57" s="3">
        <v>43662</v>
      </c>
      <c r="M57" s="2">
        <f t="shared" si="5"/>
        <v>20.638356164383563</v>
      </c>
      <c r="N57">
        <f t="shared" si="6"/>
        <v>0.32918178082191779</v>
      </c>
      <c r="O57">
        <v>0.7</v>
      </c>
      <c r="P57">
        <f t="shared" si="7"/>
        <v>1.0291817808219177</v>
      </c>
      <c r="Q57" s="1">
        <f>((P57-O57)/O57)</f>
        <v>0.47025968688845393</v>
      </c>
      <c r="R57" t="s">
        <v>147</v>
      </c>
    </row>
    <row r="58" spans="1:18" x14ac:dyDescent="0.25">
      <c r="A58" s="5" t="s">
        <v>290</v>
      </c>
      <c r="B58" t="s">
        <v>11</v>
      </c>
      <c r="C58" t="s">
        <v>18</v>
      </c>
      <c r="D58" t="s">
        <v>19</v>
      </c>
      <c r="E58" s="5" t="s">
        <v>14</v>
      </c>
      <c r="F58" t="s">
        <v>15</v>
      </c>
      <c r="G58" t="s">
        <v>15</v>
      </c>
      <c r="H58" s="6">
        <v>36</v>
      </c>
      <c r="I58" s="5" t="s">
        <v>33</v>
      </c>
      <c r="J58" s="5" t="s">
        <v>17</v>
      </c>
      <c r="K58" s="3">
        <v>36129</v>
      </c>
      <c r="L58" s="3">
        <v>43662</v>
      </c>
      <c r="M58" s="2">
        <f t="shared" si="5"/>
        <v>20.638356164383563</v>
      </c>
      <c r="N58" t="e">
        <f t="shared" si="6"/>
        <v>#VALUE!</v>
      </c>
      <c r="O58" t="s">
        <v>15</v>
      </c>
      <c r="P58" t="e">
        <f t="shared" si="7"/>
        <v>#VALUE!</v>
      </c>
      <c r="Q58" s="1" t="e">
        <f>((P58-O58)/P58)</f>
        <v>#VALUE!</v>
      </c>
    </row>
    <row r="59" spans="1:18" x14ac:dyDescent="0.25">
      <c r="A59" s="5" t="s">
        <v>290</v>
      </c>
      <c r="B59" t="s">
        <v>11</v>
      </c>
      <c r="C59" t="s">
        <v>20</v>
      </c>
      <c r="D59" t="s">
        <v>21</v>
      </c>
      <c r="E59" t="s">
        <v>22</v>
      </c>
      <c r="F59" t="s">
        <v>23</v>
      </c>
      <c r="G59" s="2">
        <v>15.52</v>
      </c>
      <c r="H59">
        <v>37</v>
      </c>
      <c r="I59" t="s">
        <v>16</v>
      </c>
      <c r="J59" t="s">
        <v>33</v>
      </c>
      <c r="K59" s="3">
        <v>35850</v>
      </c>
      <c r="L59" s="3">
        <v>43666</v>
      </c>
      <c r="M59" s="2">
        <f t="shared" si="5"/>
        <v>21.413698630136988</v>
      </c>
      <c r="N59">
        <f t="shared" si="6"/>
        <v>332.34060273972602</v>
      </c>
      <c r="O59">
        <v>1400</v>
      </c>
      <c r="P59">
        <f t="shared" si="7"/>
        <v>1732.3406027397259</v>
      </c>
      <c r="Q59" s="1">
        <f>((P59-O59)/O59)</f>
        <v>0.23738614481408993</v>
      </c>
      <c r="R59" t="s">
        <v>142</v>
      </c>
    </row>
    <row r="60" spans="1:18" x14ac:dyDescent="0.25">
      <c r="A60" s="5" t="s">
        <v>290</v>
      </c>
      <c r="B60" t="s">
        <v>11</v>
      </c>
      <c r="C60" t="s">
        <v>25</v>
      </c>
      <c r="D60" t="s">
        <v>24</v>
      </c>
      <c r="E60" s="4" t="s">
        <v>34</v>
      </c>
      <c r="F60" t="s">
        <v>29</v>
      </c>
      <c r="G60">
        <v>-1.261E-3</v>
      </c>
      <c r="H60" s="6">
        <v>36</v>
      </c>
      <c r="I60" s="5" t="s">
        <v>17</v>
      </c>
      <c r="J60" s="5" t="s">
        <v>17</v>
      </c>
      <c r="K60" s="3">
        <v>36129</v>
      </c>
      <c r="L60" s="3">
        <v>43699</v>
      </c>
      <c r="M60" s="2">
        <f t="shared" si="5"/>
        <v>20.739726027397261</v>
      </c>
      <c r="N60">
        <f t="shared" si="6"/>
        <v>-2.6152794520547945E-2</v>
      </c>
      <c r="O60">
        <v>7.4999999999999997E-2</v>
      </c>
      <c r="P60">
        <f t="shared" si="7"/>
        <v>4.8847205479452052E-2</v>
      </c>
      <c r="Q60" s="1">
        <f>((P60-O60)/O60)</f>
        <v>-0.34870392694063929</v>
      </c>
      <c r="R60" t="s">
        <v>156</v>
      </c>
    </row>
    <row r="61" spans="1:18" x14ac:dyDescent="0.25">
      <c r="A61" s="5" t="s">
        <v>290</v>
      </c>
      <c r="B61" t="s">
        <v>11</v>
      </c>
      <c r="C61" t="s">
        <v>26</v>
      </c>
      <c r="D61" t="s">
        <v>27</v>
      </c>
      <c r="E61" s="5" t="s">
        <v>14</v>
      </c>
      <c r="F61" t="s">
        <v>15</v>
      </c>
      <c r="G61" t="s">
        <v>15</v>
      </c>
      <c r="H61" s="6">
        <v>36</v>
      </c>
      <c r="I61" s="5" t="s">
        <v>45</v>
      </c>
      <c r="J61" s="5" t="s">
        <v>31</v>
      </c>
      <c r="K61" s="3">
        <v>36129</v>
      </c>
      <c r="L61" s="3">
        <v>43662</v>
      </c>
      <c r="M61" s="2">
        <f t="shared" si="5"/>
        <v>20.638356164383563</v>
      </c>
      <c r="N61" t="e">
        <f t="shared" si="6"/>
        <v>#VALUE!</v>
      </c>
      <c r="O61" t="s">
        <v>15</v>
      </c>
      <c r="P61" t="e">
        <f t="shared" si="7"/>
        <v>#VALUE!</v>
      </c>
      <c r="Q61" s="1" t="e">
        <f>((P61-O61)/P61)</f>
        <v>#VALUE!</v>
      </c>
    </row>
    <row r="62" spans="1:18" x14ac:dyDescent="0.25">
      <c r="A62" t="s">
        <v>298</v>
      </c>
      <c r="B62" t="s">
        <v>11</v>
      </c>
      <c r="C62" t="s">
        <v>12</v>
      </c>
      <c r="D62" t="s">
        <v>13</v>
      </c>
      <c r="E62" s="4" t="s">
        <v>22</v>
      </c>
      <c r="F62" t="s">
        <v>23</v>
      </c>
      <c r="G62">
        <v>0.1749</v>
      </c>
      <c r="H62">
        <v>18</v>
      </c>
      <c r="I62" t="s">
        <v>16</v>
      </c>
      <c r="J62" t="s">
        <v>17</v>
      </c>
      <c r="K62" s="3">
        <v>37944</v>
      </c>
      <c r="L62" s="3">
        <v>44871</v>
      </c>
      <c r="M62" s="2">
        <f t="shared" si="5"/>
        <v>18.978082191780821</v>
      </c>
      <c r="N62">
        <f t="shared" si="6"/>
        <v>3.3192665753424655</v>
      </c>
      <c r="O62">
        <v>1.7</v>
      </c>
      <c r="P62">
        <f t="shared" si="7"/>
        <v>5.0192665753424652</v>
      </c>
      <c r="Q62" s="1">
        <f>((P62-O62)/O62)</f>
        <v>1.9525097502014501</v>
      </c>
    </row>
    <row r="63" spans="1:18" x14ac:dyDescent="0.25">
      <c r="A63" t="s">
        <v>298</v>
      </c>
      <c r="B63" t="s">
        <v>11</v>
      </c>
      <c r="C63" t="s">
        <v>296</v>
      </c>
      <c r="D63" t="s">
        <v>24</v>
      </c>
      <c r="E63" s="5" t="s">
        <v>38</v>
      </c>
      <c r="F63" t="s">
        <v>23</v>
      </c>
      <c r="G63">
        <v>4.1599999999999996E-3</v>
      </c>
      <c r="H63">
        <v>20</v>
      </c>
      <c r="I63" t="s">
        <v>16</v>
      </c>
      <c r="J63" t="s">
        <v>33</v>
      </c>
      <c r="K63" s="3">
        <v>36858</v>
      </c>
      <c r="L63" s="3">
        <v>44837</v>
      </c>
      <c r="M63" s="2">
        <f t="shared" si="5"/>
        <v>21.860273972602741</v>
      </c>
      <c r="N63">
        <f t="shared" si="6"/>
        <v>9.0938739726027396E-2</v>
      </c>
      <c r="O63">
        <v>0.36</v>
      </c>
      <c r="P63">
        <f t="shared" si="7"/>
        <v>0.45093873972602738</v>
      </c>
      <c r="Q63" s="1">
        <f>((P63-O63)/O63)</f>
        <v>0.25260761035007612</v>
      </c>
      <c r="R63" t="s">
        <v>147</v>
      </c>
    </row>
    <row r="64" spans="1:18" x14ac:dyDescent="0.25">
      <c r="A64" t="s">
        <v>298</v>
      </c>
      <c r="B64" t="s">
        <v>11</v>
      </c>
      <c r="C64" t="s">
        <v>18</v>
      </c>
      <c r="D64" t="s">
        <v>19</v>
      </c>
      <c r="E64" t="s">
        <v>186</v>
      </c>
      <c r="F64" t="s">
        <v>15</v>
      </c>
      <c r="G64" t="s">
        <v>15</v>
      </c>
      <c r="H64">
        <v>14</v>
      </c>
      <c r="I64" t="s">
        <v>16</v>
      </c>
      <c r="J64" t="s">
        <v>31</v>
      </c>
      <c r="K64"/>
      <c r="L64"/>
      <c r="M64" s="2">
        <f t="shared" si="5"/>
        <v>0</v>
      </c>
      <c r="N64" t="e">
        <f t="shared" si="6"/>
        <v>#VALUE!</v>
      </c>
      <c r="O64" t="s">
        <v>15</v>
      </c>
      <c r="P64" t="e">
        <f t="shared" si="7"/>
        <v>#VALUE!</v>
      </c>
      <c r="Q64" s="1" t="e">
        <f>((P64-O64)/P64)</f>
        <v>#VALUE!</v>
      </c>
      <c r="R64" t="s">
        <v>203</v>
      </c>
    </row>
    <row r="65" spans="1:18" x14ac:dyDescent="0.25">
      <c r="A65" t="s">
        <v>298</v>
      </c>
      <c r="B65" t="s">
        <v>11</v>
      </c>
      <c r="C65" t="s">
        <v>20</v>
      </c>
      <c r="D65" t="s">
        <v>21</v>
      </c>
      <c r="E65" t="s">
        <v>22</v>
      </c>
      <c r="F65" t="s">
        <v>23</v>
      </c>
      <c r="G65" s="2">
        <v>0.81</v>
      </c>
      <c r="H65">
        <v>19</v>
      </c>
      <c r="I65" t="s">
        <v>16</v>
      </c>
      <c r="J65" t="s">
        <v>16</v>
      </c>
      <c r="K65" s="3">
        <v>35598</v>
      </c>
      <c r="L65" s="3">
        <v>44784</v>
      </c>
      <c r="M65" s="2">
        <f t="shared" si="5"/>
        <v>25.167123287671235</v>
      </c>
      <c r="N65">
        <f t="shared" si="6"/>
        <v>20.3853698630137</v>
      </c>
      <c r="O65">
        <v>28</v>
      </c>
      <c r="P65">
        <f t="shared" si="7"/>
        <v>48.3853698630137</v>
      </c>
      <c r="Q65" s="1">
        <f>((P65-O65)/O65)</f>
        <v>0.72804892367906071</v>
      </c>
    </row>
    <row r="66" spans="1:18" x14ac:dyDescent="0.25">
      <c r="A66" t="s">
        <v>298</v>
      </c>
      <c r="B66" t="s">
        <v>11</v>
      </c>
      <c r="C66" t="s">
        <v>25</v>
      </c>
      <c r="D66" t="s">
        <v>24</v>
      </c>
      <c r="E66" t="s">
        <v>14</v>
      </c>
      <c r="F66" t="s">
        <v>15</v>
      </c>
      <c r="G66" t="s">
        <v>15</v>
      </c>
      <c r="H66">
        <v>20</v>
      </c>
      <c r="I66" t="s">
        <v>16</v>
      </c>
      <c r="J66" t="s">
        <v>16</v>
      </c>
      <c r="K66" s="3">
        <v>36858</v>
      </c>
      <c r="L66" s="3">
        <v>44837</v>
      </c>
      <c r="M66" s="2">
        <f t="shared" si="5"/>
        <v>21.860273972602741</v>
      </c>
      <c r="N66" t="e">
        <f t="shared" si="6"/>
        <v>#VALUE!</v>
      </c>
      <c r="O66" t="s">
        <v>15</v>
      </c>
      <c r="P66" t="e">
        <f t="shared" si="7"/>
        <v>#VALUE!</v>
      </c>
      <c r="Q66" s="1" t="e">
        <f>((P66-O66)/P66)</f>
        <v>#VALUE!</v>
      </c>
    </row>
    <row r="67" spans="1:18" x14ac:dyDescent="0.25">
      <c r="A67" t="s">
        <v>298</v>
      </c>
      <c r="B67" t="s">
        <v>11</v>
      </c>
      <c r="C67" t="s">
        <v>26</v>
      </c>
      <c r="D67" t="s">
        <v>27</v>
      </c>
      <c r="E67" s="4" t="s">
        <v>186</v>
      </c>
      <c r="F67" t="s">
        <v>15</v>
      </c>
      <c r="G67" t="s">
        <v>15</v>
      </c>
      <c r="H67">
        <v>14</v>
      </c>
      <c r="I67" t="s">
        <v>16</v>
      </c>
      <c r="J67" t="s">
        <v>17</v>
      </c>
      <c r="M67" s="2">
        <f t="shared" si="5"/>
        <v>0</v>
      </c>
      <c r="N67" t="e">
        <f t="shared" si="6"/>
        <v>#VALUE!</v>
      </c>
      <c r="O67" t="s">
        <v>15</v>
      </c>
      <c r="P67" t="e">
        <f t="shared" si="7"/>
        <v>#VALUE!</v>
      </c>
      <c r="Q67" s="1" t="e">
        <f>((P67-O67)/P67)</f>
        <v>#VALUE!</v>
      </c>
      <c r="R67" t="s">
        <v>203</v>
      </c>
    </row>
    <row r="68" spans="1:18" x14ac:dyDescent="0.25">
      <c r="A68" t="s">
        <v>299</v>
      </c>
      <c r="B68" t="s">
        <v>11</v>
      </c>
      <c r="C68" t="s">
        <v>12</v>
      </c>
      <c r="D68" t="s">
        <v>13</v>
      </c>
      <c r="E68" t="s">
        <v>14</v>
      </c>
      <c r="F68" t="s">
        <v>15</v>
      </c>
      <c r="G68" t="s">
        <v>15</v>
      </c>
      <c r="H68">
        <v>26</v>
      </c>
      <c r="I68" t="s">
        <v>16</v>
      </c>
      <c r="J68" t="s">
        <v>17</v>
      </c>
      <c r="K68" s="3">
        <v>38237</v>
      </c>
      <c r="L68" s="3">
        <v>44466</v>
      </c>
      <c r="M68" s="2">
        <f t="shared" si="5"/>
        <v>17.065753424657533</v>
      </c>
      <c r="N68" t="e">
        <f t="shared" si="6"/>
        <v>#VALUE!</v>
      </c>
      <c r="O68" t="s">
        <v>15</v>
      </c>
      <c r="P68" t="e">
        <f t="shared" si="7"/>
        <v>#VALUE!</v>
      </c>
      <c r="Q68" s="1" t="e">
        <f>((P68-O68)/P68)</f>
        <v>#VALUE!</v>
      </c>
    </row>
    <row r="69" spans="1:18" x14ac:dyDescent="0.25">
      <c r="A69" t="s">
        <v>299</v>
      </c>
      <c r="B69" t="s">
        <v>11</v>
      </c>
      <c r="C69" t="s">
        <v>296</v>
      </c>
      <c r="D69" t="s">
        <v>24</v>
      </c>
      <c r="E69" t="s">
        <v>14</v>
      </c>
      <c r="F69" t="s">
        <v>15</v>
      </c>
      <c r="G69" t="s">
        <v>15</v>
      </c>
      <c r="H69">
        <v>34</v>
      </c>
      <c r="I69" t="s">
        <v>33</v>
      </c>
      <c r="J69" t="s">
        <v>17</v>
      </c>
      <c r="K69" s="3">
        <v>35933</v>
      </c>
      <c r="L69" s="3">
        <v>44466</v>
      </c>
      <c r="M69" s="2">
        <f t="shared" si="5"/>
        <v>23.378082191780823</v>
      </c>
      <c r="N69" t="e">
        <f t="shared" si="6"/>
        <v>#VALUE!</v>
      </c>
      <c r="O69" t="s">
        <v>15</v>
      </c>
      <c r="P69" t="e">
        <f t="shared" si="7"/>
        <v>#VALUE!</v>
      </c>
      <c r="Q69" s="1" t="e">
        <f>((P69-O69)/P69)</f>
        <v>#VALUE!</v>
      </c>
    </row>
    <row r="70" spans="1:18" x14ac:dyDescent="0.25">
      <c r="A70" t="s">
        <v>299</v>
      </c>
      <c r="B70" t="s">
        <v>11</v>
      </c>
      <c r="C70" t="s">
        <v>18</v>
      </c>
      <c r="D70" t="s">
        <v>19</v>
      </c>
      <c r="E70" s="5" t="s">
        <v>38</v>
      </c>
      <c r="F70" t="s">
        <v>23</v>
      </c>
      <c r="G70">
        <v>1.2110000000000001</v>
      </c>
      <c r="H70">
        <v>21</v>
      </c>
      <c r="I70" t="s">
        <v>17</v>
      </c>
      <c r="J70" t="s">
        <v>17</v>
      </c>
      <c r="K70" s="3">
        <v>37188</v>
      </c>
      <c r="L70" s="3">
        <v>44466</v>
      </c>
      <c r="M70" s="2">
        <f t="shared" si="5"/>
        <v>19.93972602739726</v>
      </c>
      <c r="N70">
        <f t="shared" si="6"/>
        <v>24.147008219178083</v>
      </c>
      <c r="O70">
        <v>42</v>
      </c>
      <c r="P70">
        <f t="shared" si="7"/>
        <v>66.147008219178076</v>
      </c>
      <c r="Q70" s="1">
        <f>((P70-O70)/O70)</f>
        <v>0.57492876712328755</v>
      </c>
    </row>
    <row r="71" spans="1:18" x14ac:dyDescent="0.25">
      <c r="A71" t="s">
        <v>299</v>
      </c>
      <c r="B71" t="s">
        <v>11</v>
      </c>
      <c r="C71" t="s">
        <v>20</v>
      </c>
      <c r="D71" t="s">
        <v>21</v>
      </c>
      <c r="E71" t="s">
        <v>186</v>
      </c>
      <c r="F71" t="s">
        <v>15</v>
      </c>
      <c r="G71" t="s">
        <v>15</v>
      </c>
      <c r="H71">
        <v>8</v>
      </c>
      <c r="I71" t="s">
        <v>16</v>
      </c>
      <c r="J71" t="s">
        <v>17</v>
      </c>
      <c r="K71"/>
      <c r="L71"/>
      <c r="M71" s="2">
        <f t="shared" si="5"/>
        <v>0</v>
      </c>
      <c r="N71" t="e">
        <f t="shared" si="6"/>
        <v>#VALUE!</v>
      </c>
      <c r="O71" t="s">
        <v>15</v>
      </c>
      <c r="P71" t="e">
        <f t="shared" si="7"/>
        <v>#VALUE!</v>
      </c>
      <c r="Q71" s="1" t="e">
        <f>((P71-O71)/P71)</f>
        <v>#VALUE!</v>
      </c>
      <c r="R71" t="s">
        <v>203</v>
      </c>
    </row>
    <row r="72" spans="1:18" x14ac:dyDescent="0.25">
      <c r="A72" t="s">
        <v>299</v>
      </c>
      <c r="B72" t="s">
        <v>11</v>
      </c>
      <c r="C72" t="s">
        <v>25</v>
      </c>
      <c r="D72" t="s">
        <v>24</v>
      </c>
      <c r="E72" t="s">
        <v>14</v>
      </c>
      <c r="F72" t="s">
        <v>15</v>
      </c>
      <c r="G72" t="s">
        <v>15</v>
      </c>
      <c r="H72">
        <v>33</v>
      </c>
      <c r="I72" t="s">
        <v>16</v>
      </c>
      <c r="J72" t="s">
        <v>17</v>
      </c>
      <c r="K72" s="3">
        <v>35933</v>
      </c>
      <c r="L72" s="3">
        <v>44466</v>
      </c>
      <c r="M72" s="2">
        <f t="shared" ref="M72:M135" si="8">(L72-K72)/365</f>
        <v>23.378082191780823</v>
      </c>
      <c r="N72" t="e">
        <f t="shared" ref="N72:N135" si="9">G72*M72</f>
        <v>#VALUE!</v>
      </c>
      <c r="O72" t="s">
        <v>15</v>
      </c>
      <c r="P72" t="e">
        <f t="shared" ref="P72:P135" si="10">O72+N72</f>
        <v>#VALUE!</v>
      </c>
      <c r="Q72" s="1" t="e">
        <f>((P72-O72)/P72)</f>
        <v>#VALUE!</v>
      </c>
      <c r="R72" t="s">
        <v>156</v>
      </c>
    </row>
    <row r="73" spans="1:18" x14ac:dyDescent="0.25">
      <c r="A73" t="s">
        <v>299</v>
      </c>
      <c r="B73" t="s">
        <v>11</v>
      </c>
      <c r="C73" t="s">
        <v>26</v>
      </c>
      <c r="D73" t="s">
        <v>27</v>
      </c>
      <c r="E73" t="s">
        <v>14</v>
      </c>
      <c r="F73" t="s">
        <v>15</v>
      </c>
      <c r="G73" t="s">
        <v>15</v>
      </c>
      <c r="H73">
        <v>25</v>
      </c>
      <c r="I73" t="s">
        <v>17</v>
      </c>
      <c r="J73" t="s">
        <v>17</v>
      </c>
      <c r="K73" s="3">
        <v>37188</v>
      </c>
      <c r="L73" s="3">
        <v>44466</v>
      </c>
      <c r="M73" s="2">
        <f t="shared" si="8"/>
        <v>19.93972602739726</v>
      </c>
      <c r="N73" t="e">
        <f t="shared" si="9"/>
        <v>#VALUE!</v>
      </c>
      <c r="O73" t="s">
        <v>15</v>
      </c>
      <c r="P73" t="e">
        <f t="shared" si="10"/>
        <v>#VALUE!</v>
      </c>
      <c r="Q73" s="1" t="e">
        <f>((P73-O73)/P73)</f>
        <v>#VALUE!</v>
      </c>
    </row>
    <row r="74" spans="1:18" x14ac:dyDescent="0.25">
      <c r="A74" t="s">
        <v>48</v>
      </c>
      <c r="B74" t="s">
        <v>11</v>
      </c>
      <c r="C74" t="s">
        <v>12</v>
      </c>
      <c r="D74" t="s">
        <v>13</v>
      </c>
      <c r="E74" t="s">
        <v>186</v>
      </c>
      <c r="F74" t="s">
        <v>15</v>
      </c>
      <c r="G74" t="s">
        <v>15</v>
      </c>
      <c r="H74">
        <v>15</v>
      </c>
      <c r="I74" t="s">
        <v>16</v>
      </c>
      <c r="J74" t="s">
        <v>31</v>
      </c>
      <c r="M74" s="2">
        <f t="shared" si="8"/>
        <v>0</v>
      </c>
      <c r="N74" t="e">
        <f t="shared" si="9"/>
        <v>#VALUE!</v>
      </c>
      <c r="O74" t="s">
        <v>15</v>
      </c>
      <c r="P74" t="e">
        <f t="shared" si="10"/>
        <v>#VALUE!</v>
      </c>
      <c r="Q74" s="1" t="e">
        <f>((P74-O74)/P74)</f>
        <v>#VALUE!</v>
      </c>
    </row>
    <row r="75" spans="1:18" x14ac:dyDescent="0.25">
      <c r="A75" t="s">
        <v>48</v>
      </c>
      <c r="B75" t="s">
        <v>11</v>
      </c>
      <c r="C75" t="s">
        <v>296</v>
      </c>
      <c r="D75" t="s">
        <v>24</v>
      </c>
      <c r="E75" s="4" t="s">
        <v>22</v>
      </c>
      <c r="F75" t="s">
        <v>23</v>
      </c>
      <c r="G75">
        <v>2.8590000000000001E-2</v>
      </c>
      <c r="H75">
        <v>21</v>
      </c>
      <c r="I75" t="s">
        <v>16</v>
      </c>
      <c r="J75" t="s">
        <v>16</v>
      </c>
      <c r="K75" s="3">
        <v>35956</v>
      </c>
      <c r="L75" s="3">
        <v>43010</v>
      </c>
      <c r="M75" s="2">
        <f t="shared" si="8"/>
        <v>19.326027397260273</v>
      </c>
      <c r="N75">
        <f t="shared" si="9"/>
        <v>0.55253112328767118</v>
      </c>
      <c r="O75">
        <v>0.65</v>
      </c>
      <c r="P75">
        <f t="shared" si="10"/>
        <v>1.2025311232876712</v>
      </c>
      <c r="Q75" s="1">
        <f>((P75-O75)/O75)</f>
        <v>0.85004788198103254</v>
      </c>
      <c r="R75" t="s">
        <v>157</v>
      </c>
    </row>
    <row r="76" spans="1:18" x14ac:dyDescent="0.25">
      <c r="A76" t="s">
        <v>48</v>
      </c>
      <c r="B76" t="s">
        <v>11</v>
      </c>
      <c r="C76" t="s">
        <v>18</v>
      </c>
      <c r="D76" t="s">
        <v>19</v>
      </c>
      <c r="E76" t="s">
        <v>186</v>
      </c>
      <c r="F76" t="s">
        <v>15</v>
      </c>
      <c r="G76" t="s">
        <v>15</v>
      </c>
      <c r="H76">
        <v>13</v>
      </c>
      <c r="I76" t="s">
        <v>16</v>
      </c>
      <c r="J76" t="s">
        <v>17</v>
      </c>
      <c r="K76"/>
      <c r="L76"/>
      <c r="M76" s="2">
        <f t="shared" si="8"/>
        <v>0</v>
      </c>
      <c r="N76" t="e">
        <f t="shared" si="9"/>
        <v>#VALUE!</v>
      </c>
      <c r="O76" t="s">
        <v>15</v>
      </c>
      <c r="P76" t="e">
        <f t="shared" si="10"/>
        <v>#VALUE!</v>
      </c>
      <c r="Q76" s="1" t="e">
        <f>((P76-O76)/P76)</f>
        <v>#VALUE!</v>
      </c>
      <c r="R76" t="s">
        <v>203</v>
      </c>
    </row>
    <row r="77" spans="1:18" x14ac:dyDescent="0.25">
      <c r="A77" t="s">
        <v>48</v>
      </c>
      <c r="B77" t="s">
        <v>11</v>
      </c>
      <c r="C77" t="s">
        <v>20</v>
      </c>
      <c r="D77" t="s">
        <v>21</v>
      </c>
      <c r="E77" t="s">
        <v>22</v>
      </c>
      <c r="F77" t="s">
        <v>23</v>
      </c>
      <c r="G77" s="2">
        <v>6.577</v>
      </c>
      <c r="H77">
        <v>16</v>
      </c>
      <c r="I77" t="s">
        <v>16</v>
      </c>
      <c r="J77" t="s">
        <v>33</v>
      </c>
      <c r="K77" s="3">
        <v>35956</v>
      </c>
      <c r="L77" s="3">
        <v>43010</v>
      </c>
      <c r="M77" s="2">
        <f t="shared" si="8"/>
        <v>19.326027397260273</v>
      </c>
      <c r="N77">
        <f t="shared" si="9"/>
        <v>127.10728219178081</v>
      </c>
      <c r="O77">
        <v>240</v>
      </c>
      <c r="P77">
        <f t="shared" si="10"/>
        <v>367.10728219178083</v>
      </c>
      <c r="Q77" s="1">
        <f>((P77-O77)/O77)</f>
        <v>0.5296136757990868</v>
      </c>
      <c r="R77" t="s">
        <v>142</v>
      </c>
    </row>
    <row r="78" spans="1:18" x14ac:dyDescent="0.25">
      <c r="A78" t="s">
        <v>48</v>
      </c>
      <c r="B78" t="s">
        <v>11</v>
      </c>
      <c r="C78" t="s">
        <v>25</v>
      </c>
      <c r="D78" t="s">
        <v>24</v>
      </c>
      <c r="E78" s="4" t="s">
        <v>22</v>
      </c>
      <c r="F78" t="s">
        <v>23</v>
      </c>
      <c r="G78">
        <v>9.1480000000000001E-4</v>
      </c>
      <c r="H78">
        <v>21</v>
      </c>
      <c r="I78" t="s">
        <v>16</v>
      </c>
      <c r="J78" t="s">
        <v>16</v>
      </c>
      <c r="K78" s="3">
        <v>35956</v>
      </c>
      <c r="L78" s="3">
        <v>43010</v>
      </c>
      <c r="M78" s="2">
        <f t="shared" si="8"/>
        <v>19.326027397260273</v>
      </c>
      <c r="N78">
        <f t="shared" si="9"/>
        <v>1.7679449863013699E-2</v>
      </c>
      <c r="O78">
        <v>2.8000000000000001E-2</v>
      </c>
      <c r="P78">
        <f t="shared" si="10"/>
        <v>4.5679449863013699E-2</v>
      </c>
      <c r="Q78" s="1">
        <f>((P78-O78)/O78)</f>
        <v>0.63140892367906065</v>
      </c>
      <c r="R78" t="s">
        <v>172</v>
      </c>
    </row>
    <row r="79" spans="1:18" x14ac:dyDescent="0.25">
      <c r="A79" t="s">
        <v>48</v>
      </c>
      <c r="B79" t="s">
        <v>11</v>
      </c>
      <c r="C79" t="s">
        <v>26</v>
      </c>
      <c r="D79" t="s">
        <v>27</v>
      </c>
      <c r="E79" t="s">
        <v>186</v>
      </c>
      <c r="F79" t="s">
        <v>15</v>
      </c>
      <c r="G79" t="s">
        <v>15</v>
      </c>
      <c r="H79">
        <v>12</v>
      </c>
      <c r="I79" t="s">
        <v>16</v>
      </c>
      <c r="J79" t="s">
        <v>31</v>
      </c>
      <c r="K79"/>
      <c r="L79"/>
      <c r="M79" s="2">
        <f t="shared" si="8"/>
        <v>0</v>
      </c>
      <c r="N79" t="e">
        <f t="shared" si="9"/>
        <v>#VALUE!</v>
      </c>
      <c r="O79" t="s">
        <v>15</v>
      </c>
      <c r="P79" t="e">
        <f t="shared" si="10"/>
        <v>#VALUE!</v>
      </c>
      <c r="Q79" s="1" t="e">
        <f>((P79-O79)/P79)</f>
        <v>#VALUE!</v>
      </c>
      <c r="R79" t="s">
        <v>203</v>
      </c>
    </row>
    <row r="80" spans="1:18" x14ac:dyDescent="0.25">
      <c r="A80" t="s">
        <v>49</v>
      </c>
      <c r="B80" t="s">
        <v>11</v>
      </c>
      <c r="C80" t="s">
        <v>12</v>
      </c>
      <c r="D80" t="s">
        <v>13</v>
      </c>
      <c r="E80" t="s">
        <v>14</v>
      </c>
      <c r="F80" t="s">
        <v>15</v>
      </c>
      <c r="G80" t="s">
        <v>15</v>
      </c>
      <c r="H80">
        <v>32</v>
      </c>
      <c r="I80" t="s">
        <v>16</v>
      </c>
      <c r="J80" t="s">
        <v>17</v>
      </c>
      <c r="K80" s="3">
        <v>37740</v>
      </c>
      <c r="L80" s="3">
        <v>44466</v>
      </c>
      <c r="M80" s="2">
        <f t="shared" si="8"/>
        <v>18.427397260273974</v>
      </c>
      <c r="N80" t="e">
        <f t="shared" si="9"/>
        <v>#VALUE!</v>
      </c>
      <c r="O80" t="s">
        <v>15</v>
      </c>
      <c r="P80" t="e">
        <f t="shared" si="10"/>
        <v>#VALUE!</v>
      </c>
      <c r="Q80" s="1" t="e">
        <f>((P80-O80)/P80)</f>
        <v>#VALUE!</v>
      </c>
    </row>
    <row r="81" spans="1:18" x14ac:dyDescent="0.25">
      <c r="A81" t="s">
        <v>49</v>
      </c>
      <c r="B81" t="s">
        <v>11</v>
      </c>
      <c r="C81" t="s">
        <v>296</v>
      </c>
      <c r="D81" t="s">
        <v>24</v>
      </c>
      <c r="E81" t="s">
        <v>14</v>
      </c>
      <c r="F81" t="s">
        <v>15</v>
      </c>
      <c r="G81" t="s">
        <v>15</v>
      </c>
      <c r="H81">
        <v>36</v>
      </c>
      <c r="I81" t="s">
        <v>17</v>
      </c>
      <c r="J81" t="s">
        <v>16</v>
      </c>
      <c r="K81" s="3">
        <v>36479</v>
      </c>
      <c r="L81" s="3">
        <v>44466</v>
      </c>
      <c r="M81" s="2">
        <f t="shared" si="8"/>
        <v>21.882191780821916</v>
      </c>
      <c r="N81" t="e">
        <f t="shared" si="9"/>
        <v>#VALUE!</v>
      </c>
      <c r="O81" t="s">
        <v>15</v>
      </c>
      <c r="P81" t="e">
        <f t="shared" si="10"/>
        <v>#VALUE!</v>
      </c>
      <c r="Q81" s="1" t="e">
        <f>((P81-O81)/P81)</f>
        <v>#VALUE!</v>
      </c>
    </row>
    <row r="82" spans="1:18" x14ac:dyDescent="0.25">
      <c r="A82" t="s">
        <v>49</v>
      </c>
      <c r="B82" t="s">
        <v>11</v>
      </c>
      <c r="C82" t="s">
        <v>18</v>
      </c>
      <c r="D82" t="s">
        <v>19</v>
      </c>
      <c r="E82" t="s">
        <v>14</v>
      </c>
      <c r="F82" t="s">
        <v>15</v>
      </c>
      <c r="G82" t="s">
        <v>15</v>
      </c>
      <c r="H82">
        <v>25</v>
      </c>
      <c r="I82" t="s">
        <v>16</v>
      </c>
      <c r="J82" t="s">
        <v>17</v>
      </c>
      <c r="K82" s="3">
        <v>39034</v>
      </c>
      <c r="L82" s="3">
        <v>44466</v>
      </c>
      <c r="M82" s="2">
        <f t="shared" si="8"/>
        <v>14.882191780821918</v>
      </c>
      <c r="N82" t="e">
        <f t="shared" si="9"/>
        <v>#VALUE!</v>
      </c>
      <c r="O82" t="s">
        <v>15</v>
      </c>
      <c r="P82" t="e">
        <f t="shared" si="10"/>
        <v>#VALUE!</v>
      </c>
      <c r="Q82" s="1" t="e">
        <f>((P82-O82)/P82)</f>
        <v>#VALUE!</v>
      </c>
    </row>
    <row r="83" spans="1:18" x14ac:dyDescent="0.25">
      <c r="A83" t="s">
        <v>49</v>
      </c>
      <c r="B83" t="s">
        <v>11</v>
      </c>
      <c r="C83" t="s">
        <v>20</v>
      </c>
      <c r="D83" t="s">
        <v>21</v>
      </c>
      <c r="E83" t="s">
        <v>22</v>
      </c>
      <c r="F83" t="s">
        <v>23</v>
      </c>
      <c r="G83" s="2">
        <v>29.78</v>
      </c>
      <c r="H83">
        <v>32</v>
      </c>
      <c r="I83" t="s">
        <v>17</v>
      </c>
      <c r="J83" t="s">
        <v>17</v>
      </c>
      <c r="K83" s="3">
        <v>36479</v>
      </c>
      <c r="L83" s="3">
        <v>44466</v>
      </c>
      <c r="M83" s="2">
        <f t="shared" si="8"/>
        <v>21.882191780821916</v>
      </c>
      <c r="N83">
        <f t="shared" si="9"/>
        <v>651.65167123287665</v>
      </c>
      <c r="O83">
        <v>2000</v>
      </c>
      <c r="P83">
        <f t="shared" si="10"/>
        <v>2651.6516712328767</v>
      </c>
      <c r="Q83" s="1">
        <f>((P83-O83)/O83)</f>
        <v>0.32582583561643835</v>
      </c>
      <c r="R83" t="s">
        <v>142</v>
      </c>
    </row>
    <row r="84" spans="1:18" x14ac:dyDescent="0.25">
      <c r="A84" t="s">
        <v>49</v>
      </c>
      <c r="B84" t="s">
        <v>11</v>
      </c>
      <c r="C84" t="s">
        <v>25</v>
      </c>
      <c r="D84" t="s">
        <v>24</v>
      </c>
      <c r="E84" s="4" t="s">
        <v>34</v>
      </c>
      <c r="F84" t="s">
        <v>29</v>
      </c>
      <c r="G84">
        <v>-7.7820000000000005E-4</v>
      </c>
      <c r="H84">
        <v>35</v>
      </c>
      <c r="I84" t="s">
        <v>16</v>
      </c>
      <c r="J84" t="s">
        <v>17</v>
      </c>
      <c r="K84" s="3">
        <v>36479</v>
      </c>
      <c r="L84" s="3">
        <v>44466</v>
      </c>
      <c r="M84" s="2">
        <f t="shared" si="8"/>
        <v>21.882191780821916</v>
      </c>
      <c r="N84">
        <f t="shared" si="9"/>
        <v>-1.7028721643835617E-2</v>
      </c>
      <c r="O84">
        <v>4.9000000000000002E-2</v>
      </c>
      <c r="P84">
        <f t="shared" si="10"/>
        <v>3.1971278356164382E-2</v>
      </c>
      <c r="Q84" s="1">
        <f>((P84-O84)/O84)</f>
        <v>-0.34752493150684938</v>
      </c>
      <c r="R84" t="s">
        <v>170</v>
      </c>
    </row>
    <row r="85" spans="1:18" x14ac:dyDescent="0.25">
      <c r="A85" t="s">
        <v>49</v>
      </c>
      <c r="B85" t="s">
        <v>11</v>
      </c>
      <c r="C85" t="s">
        <v>26</v>
      </c>
      <c r="D85" t="s">
        <v>27</v>
      </c>
      <c r="E85" s="5" t="s">
        <v>34</v>
      </c>
      <c r="F85" t="s">
        <v>29</v>
      </c>
      <c r="G85">
        <v>-0.28339999999999999</v>
      </c>
      <c r="H85">
        <v>30</v>
      </c>
      <c r="I85" t="s">
        <v>17</v>
      </c>
      <c r="J85" t="s">
        <v>17</v>
      </c>
      <c r="K85" s="3">
        <v>38252</v>
      </c>
      <c r="L85" s="3">
        <v>44466</v>
      </c>
      <c r="M85" s="2">
        <f t="shared" si="8"/>
        <v>17.024657534246575</v>
      </c>
      <c r="N85">
        <f t="shared" si="9"/>
        <v>-4.8247879452054789</v>
      </c>
      <c r="O85">
        <v>12</v>
      </c>
      <c r="P85">
        <f t="shared" si="10"/>
        <v>7.1752120547945211</v>
      </c>
      <c r="Q85" s="1">
        <f>((P85-O85)/O85)</f>
        <v>-0.40206566210045658</v>
      </c>
      <c r="R85" t="s">
        <v>174</v>
      </c>
    </row>
    <row r="86" spans="1:18" x14ac:dyDescent="0.25">
      <c r="A86" t="s">
        <v>50</v>
      </c>
      <c r="B86" t="s">
        <v>11</v>
      </c>
      <c r="C86" t="s">
        <v>12</v>
      </c>
      <c r="D86" t="s">
        <v>13</v>
      </c>
      <c r="E86" s="4" t="s">
        <v>14</v>
      </c>
      <c r="F86" t="s">
        <v>23</v>
      </c>
      <c r="G86" t="s">
        <v>15</v>
      </c>
      <c r="H86">
        <v>23</v>
      </c>
      <c r="I86" t="s">
        <v>16</v>
      </c>
      <c r="J86" t="s">
        <v>17</v>
      </c>
      <c r="K86" s="3">
        <v>37866</v>
      </c>
      <c r="L86" s="3">
        <v>44844</v>
      </c>
      <c r="M86" s="2">
        <f t="shared" si="8"/>
        <v>19.117808219178084</v>
      </c>
      <c r="N86" t="e">
        <f t="shared" si="9"/>
        <v>#VALUE!</v>
      </c>
      <c r="O86" t="s">
        <v>15</v>
      </c>
      <c r="P86" t="e">
        <f t="shared" si="10"/>
        <v>#VALUE!</v>
      </c>
      <c r="Q86" s="1" t="e">
        <f>((P86-O86)/P86)</f>
        <v>#VALUE!</v>
      </c>
      <c r="R86" t="s">
        <v>133</v>
      </c>
    </row>
    <row r="87" spans="1:18" x14ac:dyDescent="0.25">
      <c r="A87" t="s">
        <v>50</v>
      </c>
      <c r="B87" t="s">
        <v>11</v>
      </c>
      <c r="C87" t="s">
        <v>296</v>
      </c>
      <c r="D87" t="s">
        <v>24</v>
      </c>
      <c r="E87" s="5" t="s">
        <v>38</v>
      </c>
      <c r="F87" t="s">
        <v>23</v>
      </c>
      <c r="G87">
        <v>1.1650000000000001E-2</v>
      </c>
      <c r="H87">
        <v>26</v>
      </c>
      <c r="I87" t="s">
        <v>16</v>
      </c>
      <c r="J87" t="s">
        <v>17</v>
      </c>
      <c r="K87" s="3">
        <v>37165</v>
      </c>
      <c r="L87" s="3">
        <v>44844</v>
      </c>
      <c r="M87" s="2">
        <f t="shared" si="8"/>
        <v>21.038356164383561</v>
      </c>
      <c r="N87">
        <f t="shared" si="9"/>
        <v>0.2450968493150685</v>
      </c>
      <c r="O87">
        <v>0.9</v>
      </c>
      <c r="P87">
        <f t="shared" si="10"/>
        <v>1.1450968493150686</v>
      </c>
      <c r="Q87" s="1">
        <f>((P87-O87)/O87)</f>
        <v>0.27232983257229842</v>
      </c>
      <c r="R87" t="s">
        <v>147</v>
      </c>
    </row>
    <row r="88" spans="1:18" x14ac:dyDescent="0.25">
      <c r="A88" t="s">
        <v>50</v>
      </c>
      <c r="B88" t="s">
        <v>11</v>
      </c>
      <c r="C88" t="s">
        <v>18</v>
      </c>
      <c r="D88" t="s">
        <v>19</v>
      </c>
      <c r="E88" t="s">
        <v>14</v>
      </c>
      <c r="F88" t="s">
        <v>15</v>
      </c>
      <c r="G88" t="s">
        <v>15</v>
      </c>
      <c r="H88">
        <v>24</v>
      </c>
      <c r="I88" t="s">
        <v>16</v>
      </c>
      <c r="J88" t="s">
        <v>31</v>
      </c>
      <c r="K88" s="3">
        <v>37165</v>
      </c>
      <c r="L88" s="3">
        <v>44844</v>
      </c>
      <c r="M88" s="2">
        <f t="shared" si="8"/>
        <v>21.038356164383561</v>
      </c>
      <c r="N88" t="e">
        <f t="shared" si="9"/>
        <v>#VALUE!</v>
      </c>
      <c r="O88" t="s">
        <v>15</v>
      </c>
      <c r="P88" t="e">
        <f t="shared" si="10"/>
        <v>#VALUE!</v>
      </c>
      <c r="Q88" s="1" t="e">
        <f>((P88-O88)/P88)</f>
        <v>#VALUE!</v>
      </c>
    </row>
    <row r="89" spans="1:18" x14ac:dyDescent="0.25">
      <c r="A89" t="s">
        <v>50</v>
      </c>
      <c r="B89" t="s">
        <v>11</v>
      </c>
      <c r="C89" t="s">
        <v>20</v>
      </c>
      <c r="D89" t="s">
        <v>21</v>
      </c>
      <c r="E89" t="s">
        <v>14</v>
      </c>
      <c r="F89" t="s">
        <v>15</v>
      </c>
      <c r="G89" s="2" t="s">
        <v>15</v>
      </c>
      <c r="H89">
        <v>22</v>
      </c>
      <c r="I89" t="s">
        <v>16</v>
      </c>
      <c r="J89" t="s">
        <v>17</v>
      </c>
      <c r="K89" s="3">
        <v>37184</v>
      </c>
      <c r="L89" s="3">
        <v>44803</v>
      </c>
      <c r="M89" s="2">
        <f t="shared" si="8"/>
        <v>20.873972602739727</v>
      </c>
      <c r="N89" t="e">
        <f t="shared" si="9"/>
        <v>#VALUE!</v>
      </c>
      <c r="O89" t="s">
        <v>15</v>
      </c>
      <c r="P89" t="e">
        <f t="shared" si="10"/>
        <v>#VALUE!</v>
      </c>
      <c r="Q89" s="1" t="e">
        <f>((P89-O89)/P89)</f>
        <v>#VALUE!</v>
      </c>
    </row>
    <row r="90" spans="1:18" x14ac:dyDescent="0.25">
      <c r="A90" t="s">
        <v>50</v>
      </c>
      <c r="B90" t="s">
        <v>11</v>
      </c>
      <c r="C90" t="s">
        <v>25</v>
      </c>
      <c r="D90" t="s">
        <v>24</v>
      </c>
      <c r="E90" t="s">
        <v>14</v>
      </c>
      <c r="F90" t="s">
        <v>15</v>
      </c>
      <c r="G90" t="s">
        <v>15</v>
      </c>
      <c r="H90">
        <v>26</v>
      </c>
      <c r="I90" t="s">
        <v>16</v>
      </c>
      <c r="J90" t="s">
        <v>17</v>
      </c>
      <c r="K90" s="3">
        <v>37165</v>
      </c>
      <c r="L90" s="3">
        <v>44844</v>
      </c>
      <c r="M90" s="2">
        <f t="shared" si="8"/>
        <v>21.038356164383561</v>
      </c>
      <c r="N90" t="e">
        <f t="shared" si="9"/>
        <v>#VALUE!</v>
      </c>
      <c r="O90" t="s">
        <v>15</v>
      </c>
      <c r="P90" t="e">
        <f t="shared" si="10"/>
        <v>#VALUE!</v>
      </c>
      <c r="Q90" s="1" t="e">
        <f>((P90-O90)/P90)</f>
        <v>#VALUE!</v>
      </c>
    </row>
    <row r="91" spans="1:18" x14ac:dyDescent="0.25">
      <c r="A91" t="s">
        <v>50</v>
      </c>
      <c r="B91" t="s">
        <v>11</v>
      </c>
      <c r="C91" t="s">
        <v>26</v>
      </c>
      <c r="D91" t="s">
        <v>27</v>
      </c>
      <c r="E91" t="s">
        <v>14</v>
      </c>
      <c r="F91" t="s">
        <v>15</v>
      </c>
      <c r="G91" t="s">
        <v>15</v>
      </c>
      <c r="H91">
        <v>24</v>
      </c>
      <c r="I91" t="s">
        <v>17</v>
      </c>
      <c r="J91" t="s">
        <v>17</v>
      </c>
      <c r="K91" s="3">
        <v>37165</v>
      </c>
      <c r="L91" s="3">
        <v>44844</v>
      </c>
      <c r="M91" s="2">
        <f t="shared" si="8"/>
        <v>21.038356164383561</v>
      </c>
      <c r="N91" t="e">
        <f t="shared" si="9"/>
        <v>#VALUE!</v>
      </c>
      <c r="O91" t="s">
        <v>15</v>
      </c>
      <c r="P91" t="e">
        <f t="shared" si="10"/>
        <v>#VALUE!</v>
      </c>
      <c r="Q91" s="1" t="e">
        <f>((P91-O91)/P91)</f>
        <v>#VALUE!</v>
      </c>
    </row>
    <row r="92" spans="1:18" x14ac:dyDescent="0.25">
      <c r="A92" t="s">
        <v>300</v>
      </c>
      <c r="B92" t="s">
        <v>11</v>
      </c>
      <c r="C92" t="s">
        <v>12</v>
      </c>
      <c r="D92" t="s">
        <v>13</v>
      </c>
      <c r="E92" s="4" t="s">
        <v>22</v>
      </c>
      <c r="F92" t="s">
        <v>23</v>
      </c>
      <c r="G92">
        <v>0.59989999999999999</v>
      </c>
      <c r="H92">
        <v>28</v>
      </c>
      <c r="I92" t="s">
        <v>16</v>
      </c>
      <c r="J92" t="s">
        <v>17</v>
      </c>
      <c r="K92" s="3">
        <v>37580</v>
      </c>
      <c r="L92" s="3">
        <v>44500</v>
      </c>
      <c r="M92" s="2">
        <f t="shared" si="8"/>
        <v>18.958904109589042</v>
      </c>
      <c r="N92">
        <f t="shared" si="9"/>
        <v>11.373446575342467</v>
      </c>
      <c r="O92">
        <v>9</v>
      </c>
      <c r="P92">
        <f t="shared" si="10"/>
        <v>20.373446575342467</v>
      </c>
      <c r="Q92" s="1">
        <f>((P92-O92)/O92)</f>
        <v>1.2637162861491629</v>
      </c>
    </row>
    <row r="93" spans="1:18" x14ac:dyDescent="0.25">
      <c r="A93" t="s">
        <v>300</v>
      </c>
      <c r="B93" t="s">
        <v>11</v>
      </c>
      <c r="C93" t="s">
        <v>296</v>
      </c>
      <c r="D93" t="s">
        <v>24</v>
      </c>
      <c r="E93" s="4" t="s">
        <v>22</v>
      </c>
      <c r="F93" t="s">
        <v>23</v>
      </c>
      <c r="G93">
        <v>1.2189999999999999E-2</v>
      </c>
      <c r="H93">
        <v>33</v>
      </c>
      <c r="I93" t="s">
        <v>16</v>
      </c>
      <c r="J93" t="s">
        <v>17</v>
      </c>
      <c r="K93" s="3">
        <v>36836</v>
      </c>
      <c r="L93" s="3">
        <v>44466</v>
      </c>
      <c r="M93" s="2">
        <f t="shared" si="8"/>
        <v>20.904109589041095</v>
      </c>
      <c r="N93">
        <f t="shared" si="9"/>
        <v>0.25482109589041096</v>
      </c>
      <c r="O93">
        <v>0.7</v>
      </c>
      <c r="P93">
        <f t="shared" si="10"/>
        <v>0.95482109589041086</v>
      </c>
      <c r="Q93" s="1">
        <f>((P93-O93)/O93)</f>
        <v>0.36403013698630132</v>
      </c>
    </row>
    <row r="94" spans="1:18" x14ac:dyDescent="0.25">
      <c r="A94" t="s">
        <v>300</v>
      </c>
      <c r="B94" t="s">
        <v>11</v>
      </c>
      <c r="C94" t="s">
        <v>18</v>
      </c>
      <c r="D94" t="s">
        <v>19</v>
      </c>
      <c r="E94" s="4" t="s">
        <v>40</v>
      </c>
      <c r="F94" t="s">
        <v>23</v>
      </c>
      <c r="G94">
        <v>1.6679999999999999</v>
      </c>
      <c r="H94">
        <v>24</v>
      </c>
      <c r="I94" t="s">
        <v>16</v>
      </c>
      <c r="J94" t="s">
        <v>17</v>
      </c>
      <c r="K94" s="3">
        <v>36836</v>
      </c>
      <c r="L94" s="3">
        <v>44466</v>
      </c>
      <c r="M94" s="2">
        <f t="shared" si="8"/>
        <v>20.904109589041095</v>
      </c>
      <c r="N94">
        <f t="shared" si="9"/>
        <v>34.868054794520546</v>
      </c>
      <c r="O94">
        <v>50</v>
      </c>
      <c r="P94">
        <f t="shared" si="10"/>
        <v>84.868054794520546</v>
      </c>
      <c r="Q94" s="1">
        <f>((P94-O94)/O94)</f>
        <v>0.69736109589041095</v>
      </c>
      <c r="R94" t="s">
        <v>182</v>
      </c>
    </row>
    <row r="95" spans="1:18" x14ac:dyDescent="0.25">
      <c r="A95" t="s">
        <v>300</v>
      </c>
      <c r="B95" t="s">
        <v>11</v>
      </c>
      <c r="C95" t="s">
        <v>20</v>
      </c>
      <c r="D95" t="s">
        <v>21</v>
      </c>
      <c r="E95" t="s">
        <v>22</v>
      </c>
      <c r="F95" t="s">
        <v>23</v>
      </c>
      <c r="G95" s="2">
        <v>4.8520000000000003</v>
      </c>
      <c r="H95">
        <v>33</v>
      </c>
      <c r="I95" t="s">
        <v>16</v>
      </c>
      <c r="J95" t="s">
        <v>16</v>
      </c>
      <c r="K95" s="3">
        <v>36836</v>
      </c>
      <c r="L95" s="3">
        <v>44411</v>
      </c>
      <c r="M95" s="2">
        <f t="shared" si="8"/>
        <v>20.753424657534246</v>
      </c>
      <c r="N95">
        <f t="shared" si="9"/>
        <v>100.69561643835617</v>
      </c>
      <c r="O95">
        <v>600</v>
      </c>
      <c r="P95">
        <f t="shared" si="10"/>
        <v>700.69561643835618</v>
      </c>
      <c r="Q95" s="1">
        <f>((P95-O95)/O95)</f>
        <v>0.1678260273972603</v>
      </c>
      <c r="R95" t="s">
        <v>142</v>
      </c>
    </row>
    <row r="96" spans="1:18" x14ac:dyDescent="0.25">
      <c r="A96" t="s">
        <v>300</v>
      </c>
      <c r="B96" t="s">
        <v>11</v>
      </c>
      <c r="C96" t="s">
        <v>25</v>
      </c>
      <c r="D96" t="s">
        <v>24</v>
      </c>
      <c r="E96" t="s">
        <v>14</v>
      </c>
      <c r="F96" t="s">
        <v>15</v>
      </c>
      <c r="G96" t="s">
        <v>15</v>
      </c>
      <c r="H96">
        <v>33</v>
      </c>
      <c r="I96" t="s">
        <v>16</v>
      </c>
      <c r="J96" t="s">
        <v>17</v>
      </c>
      <c r="K96" s="3">
        <v>36836</v>
      </c>
      <c r="L96" s="3">
        <v>44466</v>
      </c>
      <c r="M96" s="2">
        <f t="shared" si="8"/>
        <v>20.904109589041095</v>
      </c>
      <c r="N96" t="e">
        <f t="shared" si="9"/>
        <v>#VALUE!</v>
      </c>
      <c r="O96" t="s">
        <v>15</v>
      </c>
      <c r="P96" t="e">
        <f t="shared" si="10"/>
        <v>#VALUE!</v>
      </c>
      <c r="Q96" s="1" t="e">
        <f>((P96-O96)/P96)</f>
        <v>#VALUE!</v>
      </c>
    </row>
    <row r="97" spans="1:18" x14ac:dyDescent="0.25">
      <c r="A97" t="s">
        <v>300</v>
      </c>
      <c r="B97" t="s">
        <v>11</v>
      </c>
      <c r="C97" t="s">
        <v>26</v>
      </c>
      <c r="D97" t="s">
        <v>27</v>
      </c>
      <c r="E97" s="4" t="s">
        <v>28</v>
      </c>
      <c r="F97" t="s">
        <v>29</v>
      </c>
      <c r="G97">
        <v>-0.1704</v>
      </c>
      <c r="H97">
        <v>29</v>
      </c>
      <c r="I97" t="s">
        <v>33</v>
      </c>
      <c r="J97" t="s">
        <v>17</v>
      </c>
      <c r="K97" s="3">
        <v>36836</v>
      </c>
      <c r="L97" s="3">
        <v>44466</v>
      </c>
      <c r="M97" s="2">
        <f t="shared" si="8"/>
        <v>20.904109589041095</v>
      </c>
      <c r="N97">
        <f t="shared" si="9"/>
        <v>-3.5620602739726026</v>
      </c>
      <c r="O97">
        <v>10</v>
      </c>
      <c r="P97">
        <f t="shared" si="10"/>
        <v>6.4379397260273974</v>
      </c>
      <c r="Q97" s="1">
        <f>((P97-O97)/O97)</f>
        <v>-0.35620602739726026</v>
      </c>
      <c r="R97" t="s">
        <v>189</v>
      </c>
    </row>
    <row r="98" spans="1:18" x14ac:dyDescent="0.25">
      <c r="A98" t="s">
        <v>52</v>
      </c>
      <c r="B98" t="s">
        <v>11</v>
      </c>
      <c r="C98" t="s">
        <v>12</v>
      </c>
      <c r="D98" t="s">
        <v>13</v>
      </c>
      <c r="E98" t="s">
        <v>14</v>
      </c>
      <c r="F98" t="s">
        <v>15</v>
      </c>
      <c r="G98" t="s">
        <v>15</v>
      </c>
      <c r="H98">
        <v>18</v>
      </c>
      <c r="I98" t="s">
        <v>16</v>
      </c>
      <c r="J98" t="s">
        <v>17</v>
      </c>
      <c r="K98" s="3">
        <v>37482</v>
      </c>
      <c r="L98" s="3">
        <v>43327</v>
      </c>
      <c r="M98" s="2">
        <f t="shared" si="8"/>
        <v>16.013698630136986</v>
      </c>
      <c r="N98" t="e">
        <f t="shared" si="9"/>
        <v>#VALUE!</v>
      </c>
      <c r="O98" t="s">
        <v>15</v>
      </c>
      <c r="P98" t="e">
        <f t="shared" si="10"/>
        <v>#VALUE!</v>
      </c>
      <c r="Q98" s="1" t="e">
        <f>((P98-O98)/P98)</f>
        <v>#VALUE!</v>
      </c>
    </row>
    <row r="99" spans="1:18" x14ac:dyDescent="0.25">
      <c r="A99" t="s">
        <v>52</v>
      </c>
      <c r="B99" t="s">
        <v>11</v>
      </c>
      <c r="C99" t="s">
        <v>296</v>
      </c>
      <c r="D99" t="s">
        <v>24</v>
      </c>
      <c r="E99" t="s">
        <v>14</v>
      </c>
      <c r="F99" t="s">
        <v>15</v>
      </c>
      <c r="G99" t="s">
        <v>15</v>
      </c>
      <c r="H99">
        <v>33</v>
      </c>
      <c r="I99" t="s">
        <v>16</v>
      </c>
      <c r="J99" t="s">
        <v>31</v>
      </c>
      <c r="K99" s="3">
        <v>35907</v>
      </c>
      <c r="L99" s="3">
        <v>43327</v>
      </c>
      <c r="M99" s="2">
        <f t="shared" si="8"/>
        <v>20.328767123287673</v>
      </c>
      <c r="N99" t="e">
        <f t="shared" si="9"/>
        <v>#VALUE!</v>
      </c>
      <c r="O99" t="s">
        <v>15</v>
      </c>
      <c r="P99" t="e">
        <f t="shared" si="10"/>
        <v>#VALUE!</v>
      </c>
      <c r="Q99" s="1" t="e">
        <f>((P99-O99)/P99)</f>
        <v>#VALUE!</v>
      </c>
    </row>
    <row r="100" spans="1:18" x14ac:dyDescent="0.25">
      <c r="A100" t="s">
        <v>52</v>
      </c>
      <c r="B100" t="s">
        <v>11</v>
      </c>
      <c r="C100" t="s">
        <v>18</v>
      </c>
      <c r="D100" t="s">
        <v>19</v>
      </c>
      <c r="E100" s="5" t="s">
        <v>38</v>
      </c>
      <c r="F100" t="s">
        <v>23</v>
      </c>
      <c r="G100">
        <v>1.4990000000000001</v>
      </c>
      <c r="H100">
        <v>13</v>
      </c>
      <c r="I100" t="s">
        <v>16</v>
      </c>
      <c r="J100" t="s">
        <v>17</v>
      </c>
      <c r="K100" s="3">
        <v>37214</v>
      </c>
      <c r="L100" s="3">
        <v>43357</v>
      </c>
      <c r="M100" s="2">
        <f t="shared" si="8"/>
        <v>16.830136986301369</v>
      </c>
      <c r="N100">
        <f t="shared" si="9"/>
        <v>25.228375342465753</v>
      </c>
      <c r="O100">
        <v>25</v>
      </c>
      <c r="P100">
        <f t="shared" si="10"/>
        <v>50.228375342465753</v>
      </c>
      <c r="Q100" s="1">
        <f>((P100-O100)/O100)</f>
        <v>1.0091350136986301</v>
      </c>
      <c r="R100" t="s">
        <v>144</v>
      </c>
    </row>
    <row r="101" spans="1:18" x14ac:dyDescent="0.25">
      <c r="A101" t="s">
        <v>52</v>
      </c>
      <c r="B101" t="s">
        <v>11</v>
      </c>
      <c r="C101" t="s">
        <v>20</v>
      </c>
      <c r="D101" t="s">
        <v>21</v>
      </c>
      <c r="E101" t="s">
        <v>22</v>
      </c>
      <c r="F101" t="s">
        <v>23</v>
      </c>
      <c r="G101" s="2">
        <v>10.83</v>
      </c>
      <c r="H101">
        <v>21</v>
      </c>
      <c r="I101" t="s">
        <v>16</v>
      </c>
      <c r="J101" t="s">
        <v>33</v>
      </c>
      <c r="K101" s="3">
        <v>35907</v>
      </c>
      <c r="L101" s="3">
        <v>43327</v>
      </c>
      <c r="M101" s="2">
        <f t="shared" si="8"/>
        <v>20.328767123287673</v>
      </c>
      <c r="N101">
        <f t="shared" si="9"/>
        <v>220.16054794520551</v>
      </c>
      <c r="O101">
        <v>430</v>
      </c>
      <c r="P101">
        <f t="shared" si="10"/>
        <v>650.16054794520551</v>
      </c>
      <c r="Q101" s="1">
        <f>((P101-O101)/O101)</f>
        <v>0.51200127429117559</v>
      </c>
      <c r="R101" t="s">
        <v>142</v>
      </c>
    </row>
    <row r="102" spans="1:18" x14ac:dyDescent="0.25">
      <c r="A102" t="s">
        <v>52</v>
      </c>
      <c r="B102" t="s">
        <v>11</v>
      </c>
      <c r="C102" t="s">
        <v>25</v>
      </c>
      <c r="D102" t="s">
        <v>24</v>
      </c>
      <c r="E102" t="s">
        <v>14</v>
      </c>
      <c r="F102" t="s">
        <v>15</v>
      </c>
      <c r="G102" t="s">
        <v>15</v>
      </c>
      <c r="H102">
        <v>33</v>
      </c>
      <c r="I102" t="s">
        <v>16</v>
      </c>
      <c r="J102" t="s">
        <v>17</v>
      </c>
      <c r="K102" s="3">
        <v>35907</v>
      </c>
      <c r="L102" s="3">
        <v>43327</v>
      </c>
      <c r="M102" s="2">
        <f t="shared" si="8"/>
        <v>20.328767123287673</v>
      </c>
      <c r="N102" t="e">
        <f t="shared" si="9"/>
        <v>#VALUE!</v>
      </c>
      <c r="O102" t="s">
        <v>15</v>
      </c>
      <c r="P102" t="e">
        <f t="shared" si="10"/>
        <v>#VALUE!</v>
      </c>
      <c r="Q102" s="1" t="e">
        <f>((P102-O102)/P102)</f>
        <v>#VALUE!</v>
      </c>
    </row>
    <row r="103" spans="1:18" x14ac:dyDescent="0.25">
      <c r="A103" t="s">
        <v>52</v>
      </c>
      <c r="B103" t="s">
        <v>11</v>
      </c>
      <c r="C103" t="s">
        <v>26</v>
      </c>
      <c r="D103" t="s">
        <v>27</v>
      </c>
      <c r="E103" s="4" t="s">
        <v>186</v>
      </c>
      <c r="F103" t="s">
        <v>15</v>
      </c>
      <c r="G103" t="s">
        <v>15</v>
      </c>
      <c r="H103">
        <v>13</v>
      </c>
      <c r="I103" t="s">
        <v>16</v>
      </c>
      <c r="J103" t="s">
        <v>17</v>
      </c>
      <c r="M103" s="2">
        <f t="shared" si="8"/>
        <v>0</v>
      </c>
      <c r="N103" t="e">
        <f t="shared" si="9"/>
        <v>#VALUE!</v>
      </c>
      <c r="O103" t="s">
        <v>15</v>
      </c>
      <c r="P103" t="e">
        <f t="shared" si="10"/>
        <v>#VALUE!</v>
      </c>
      <c r="Q103" s="1" t="e">
        <f>((P103-O103)/P103)</f>
        <v>#VALUE!</v>
      </c>
      <c r="R103" t="s">
        <v>203</v>
      </c>
    </row>
    <row r="104" spans="1:18" x14ac:dyDescent="0.25">
      <c r="A104" t="s">
        <v>53</v>
      </c>
      <c r="B104" t="s">
        <v>11</v>
      </c>
      <c r="C104" t="s">
        <v>12</v>
      </c>
      <c r="D104" t="s">
        <v>13</v>
      </c>
      <c r="E104" s="5" t="s">
        <v>40</v>
      </c>
      <c r="F104" t="s">
        <v>23</v>
      </c>
      <c r="G104">
        <v>0.16120000000000001</v>
      </c>
      <c r="H104">
        <v>21</v>
      </c>
      <c r="I104" t="s">
        <v>16</v>
      </c>
      <c r="J104" t="s">
        <v>17</v>
      </c>
      <c r="K104" s="3">
        <v>37914</v>
      </c>
      <c r="L104" s="3">
        <v>44873</v>
      </c>
      <c r="M104" s="2">
        <f t="shared" si="8"/>
        <v>19.065753424657533</v>
      </c>
      <c r="N104">
        <f t="shared" si="9"/>
        <v>3.0733994520547947</v>
      </c>
      <c r="O104">
        <v>6</v>
      </c>
      <c r="P104">
        <f t="shared" si="10"/>
        <v>9.0733994520547938</v>
      </c>
      <c r="Q104" s="1">
        <f>((P104-O104)/O104)</f>
        <v>0.51223324200913234</v>
      </c>
    </row>
    <row r="105" spans="1:18" x14ac:dyDescent="0.25">
      <c r="A105" t="s">
        <v>53</v>
      </c>
      <c r="B105" t="s">
        <v>11</v>
      </c>
      <c r="C105" t="s">
        <v>296</v>
      </c>
      <c r="D105" t="s">
        <v>24</v>
      </c>
      <c r="E105" t="s">
        <v>14</v>
      </c>
      <c r="F105" t="s">
        <v>15</v>
      </c>
      <c r="G105" t="s">
        <v>15</v>
      </c>
      <c r="H105">
        <v>25</v>
      </c>
      <c r="I105" t="s">
        <v>16</v>
      </c>
      <c r="J105" t="s">
        <v>17</v>
      </c>
      <c r="K105" s="3">
        <v>37211</v>
      </c>
      <c r="L105" s="3">
        <v>44873</v>
      </c>
      <c r="M105" s="2">
        <f t="shared" si="8"/>
        <v>20.991780821917807</v>
      </c>
      <c r="N105" t="e">
        <f t="shared" si="9"/>
        <v>#VALUE!</v>
      </c>
      <c r="O105" t="s">
        <v>15</v>
      </c>
      <c r="P105" t="e">
        <f t="shared" si="10"/>
        <v>#VALUE!</v>
      </c>
      <c r="Q105" s="1" t="e">
        <f>((P105-O105)/P105)</f>
        <v>#VALUE!</v>
      </c>
    </row>
    <row r="106" spans="1:18" x14ac:dyDescent="0.25">
      <c r="A106" t="s">
        <v>53</v>
      </c>
      <c r="B106" t="s">
        <v>11</v>
      </c>
      <c r="C106" t="s">
        <v>18</v>
      </c>
      <c r="D106" t="s">
        <v>19</v>
      </c>
      <c r="E106" t="s">
        <v>14</v>
      </c>
      <c r="F106" t="s">
        <v>15</v>
      </c>
      <c r="G106" t="s">
        <v>15</v>
      </c>
      <c r="H106">
        <v>17</v>
      </c>
      <c r="I106" t="s">
        <v>16</v>
      </c>
      <c r="J106" t="s">
        <v>33</v>
      </c>
      <c r="K106" s="3">
        <v>37201</v>
      </c>
      <c r="L106" s="3">
        <v>44873</v>
      </c>
      <c r="M106" s="2">
        <f t="shared" si="8"/>
        <v>21.019178082191782</v>
      </c>
      <c r="N106" t="e">
        <f t="shared" si="9"/>
        <v>#VALUE!</v>
      </c>
      <c r="O106" t="s">
        <v>15</v>
      </c>
      <c r="P106" t="e">
        <f t="shared" si="10"/>
        <v>#VALUE!</v>
      </c>
      <c r="Q106" s="1" t="e">
        <f>((P106-O106)/P106)</f>
        <v>#VALUE!</v>
      </c>
      <c r="R106" t="s">
        <v>204</v>
      </c>
    </row>
    <row r="107" spans="1:18" x14ac:dyDescent="0.25">
      <c r="A107" t="s">
        <v>53</v>
      </c>
      <c r="B107" t="s">
        <v>11</v>
      </c>
      <c r="C107" t="s">
        <v>20</v>
      </c>
      <c r="D107" t="s">
        <v>21</v>
      </c>
      <c r="E107" t="s">
        <v>22</v>
      </c>
      <c r="F107" t="s">
        <v>23</v>
      </c>
      <c r="G107" s="2">
        <v>2.8</v>
      </c>
      <c r="H107">
        <v>20</v>
      </c>
      <c r="I107" t="s">
        <v>16</v>
      </c>
      <c r="J107" t="s">
        <v>16</v>
      </c>
      <c r="K107" s="3">
        <v>37201</v>
      </c>
      <c r="L107" s="3">
        <v>44827</v>
      </c>
      <c r="M107" s="2">
        <f t="shared" si="8"/>
        <v>20.893150684931506</v>
      </c>
      <c r="N107">
        <f t="shared" si="9"/>
        <v>58.50082191780821</v>
      </c>
      <c r="O107">
        <v>55</v>
      </c>
      <c r="P107">
        <f t="shared" si="10"/>
        <v>113.50082191780821</v>
      </c>
      <c r="Q107" s="1">
        <f>((P107-O107)/O107)</f>
        <v>1.0636513075965128</v>
      </c>
      <c r="R107" t="s">
        <v>142</v>
      </c>
    </row>
    <row r="108" spans="1:18" x14ac:dyDescent="0.25">
      <c r="A108" t="s">
        <v>53</v>
      </c>
      <c r="B108" t="s">
        <v>11</v>
      </c>
      <c r="C108" t="s">
        <v>25</v>
      </c>
      <c r="D108" t="s">
        <v>24</v>
      </c>
      <c r="E108" t="s">
        <v>28</v>
      </c>
      <c r="F108" t="s">
        <v>29</v>
      </c>
      <c r="G108">
        <v>-1.147E-3</v>
      </c>
      <c r="H108">
        <v>25</v>
      </c>
      <c r="I108" t="s">
        <v>16</v>
      </c>
      <c r="J108" t="s">
        <v>16</v>
      </c>
      <c r="K108" s="3">
        <v>37201</v>
      </c>
      <c r="L108" s="3">
        <v>44911</v>
      </c>
      <c r="M108" s="2">
        <f t="shared" si="8"/>
        <v>21.123287671232877</v>
      </c>
      <c r="N108">
        <f t="shared" si="9"/>
        <v>-2.4228410958904111E-2</v>
      </c>
      <c r="O108">
        <v>9.5000000000000001E-2</v>
      </c>
      <c r="P108">
        <f t="shared" si="10"/>
        <v>7.0771589041095886E-2</v>
      </c>
      <c r="Q108" s="1">
        <f>((P108-O108)/O108)</f>
        <v>-0.25503590483056965</v>
      </c>
      <c r="R108" t="s">
        <v>147</v>
      </c>
    </row>
    <row r="109" spans="1:18" x14ac:dyDescent="0.25">
      <c r="A109" t="s">
        <v>53</v>
      </c>
      <c r="B109" t="s">
        <v>11</v>
      </c>
      <c r="C109" t="s">
        <v>26</v>
      </c>
      <c r="D109" t="s">
        <v>27</v>
      </c>
      <c r="E109" s="4" t="s">
        <v>34</v>
      </c>
      <c r="F109" t="s">
        <v>29</v>
      </c>
      <c r="G109">
        <v>-2.194</v>
      </c>
      <c r="H109">
        <v>21</v>
      </c>
      <c r="I109" t="s">
        <v>16</v>
      </c>
      <c r="J109" t="s">
        <v>17</v>
      </c>
      <c r="K109" s="3">
        <v>37201</v>
      </c>
      <c r="L109" s="3">
        <v>44873</v>
      </c>
      <c r="M109" s="2">
        <f t="shared" si="8"/>
        <v>21.019178082191782</v>
      </c>
      <c r="N109">
        <f t="shared" si="9"/>
        <v>-46.11607671232877</v>
      </c>
      <c r="O109">
        <v>82</v>
      </c>
      <c r="P109">
        <f t="shared" si="10"/>
        <v>35.88392328767123</v>
      </c>
      <c r="Q109" s="1">
        <f>((P109-O109)/O109)</f>
        <v>-0.56239117941864358</v>
      </c>
      <c r="R109" t="s">
        <v>189</v>
      </c>
    </row>
    <row r="110" spans="1:18" x14ac:dyDescent="0.25">
      <c r="A110" t="s">
        <v>54</v>
      </c>
      <c r="B110" t="s">
        <v>11</v>
      </c>
      <c r="C110" t="s">
        <v>12</v>
      </c>
      <c r="D110" t="s">
        <v>13</v>
      </c>
      <c r="E110" t="s">
        <v>14</v>
      </c>
      <c r="F110" t="s">
        <v>15</v>
      </c>
      <c r="G110" t="s">
        <v>15</v>
      </c>
      <c r="H110">
        <v>22</v>
      </c>
      <c r="I110" t="s">
        <v>33</v>
      </c>
      <c r="J110" t="s">
        <v>17</v>
      </c>
      <c r="K110" s="3">
        <v>37634</v>
      </c>
      <c r="L110" s="3">
        <v>43885</v>
      </c>
      <c r="M110" s="2">
        <f t="shared" si="8"/>
        <v>17.126027397260273</v>
      </c>
      <c r="N110" t="e">
        <f t="shared" si="9"/>
        <v>#VALUE!</v>
      </c>
      <c r="O110" t="s">
        <v>15</v>
      </c>
      <c r="P110" t="e">
        <f t="shared" si="10"/>
        <v>#VALUE!</v>
      </c>
      <c r="Q110" s="1" t="e">
        <f>((P110-O110)/P110)</f>
        <v>#VALUE!</v>
      </c>
    </row>
    <row r="111" spans="1:18" x14ac:dyDescent="0.25">
      <c r="A111" t="s">
        <v>54</v>
      </c>
      <c r="B111" t="s">
        <v>11</v>
      </c>
      <c r="C111" t="s">
        <v>296</v>
      </c>
      <c r="D111" t="s">
        <v>24</v>
      </c>
      <c r="E111" s="4" t="s">
        <v>40</v>
      </c>
      <c r="F111" t="s">
        <v>23</v>
      </c>
      <c r="G111">
        <v>1.512E-2</v>
      </c>
      <c r="H111">
        <v>29</v>
      </c>
      <c r="I111" t="s">
        <v>31</v>
      </c>
      <c r="J111" t="s">
        <v>17</v>
      </c>
      <c r="K111" s="3">
        <v>36450</v>
      </c>
      <c r="L111" s="3">
        <v>43885</v>
      </c>
      <c r="M111" s="2">
        <f t="shared" si="8"/>
        <v>20.36986301369863</v>
      </c>
      <c r="N111">
        <f t="shared" si="9"/>
        <v>0.30799232876712329</v>
      </c>
      <c r="O111">
        <v>0.65</v>
      </c>
      <c r="P111">
        <f t="shared" si="10"/>
        <v>0.95799232876712326</v>
      </c>
      <c r="Q111" s="1">
        <f>((P111-O111)/O111)</f>
        <v>0.47383435194942036</v>
      </c>
      <c r="R111" t="s">
        <v>158</v>
      </c>
    </row>
    <row r="112" spans="1:18" x14ac:dyDescent="0.25">
      <c r="A112" t="s">
        <v>54</v>
      </c>
      <c r="B112" t="s">
        <v>11</v>
      </c>
      <c r="C112" t="s">
        <v>18</v>
      </c>
      <c r="D112" t="s">
        <v>19</v>
      </c>
      <c r="E112" s="4" t="s">
        <v>22</v>
      </c>
      <c r="F112" t="s">
        <v>23</v>
      </c>
      <c r="G112">
        <v>3.5379999999999998</v>
      </c>
      <c r="H112">
        <v>14</v>
      </c>
      <c r="I112" t="s">
        <v>16</v>
      </c>
      <c r="J112" t="s">
        <v>17</v>
      </c>
      <c r="K112" s="3">
        <v>41197</v>
      </c>
      <c r="L112" s="3">
        <v>43898</v>
      </c>
      <c r="M112" s="2">
        <f t="shared" si="8"/>
        <v>7.4</v>
      </c>
      <c r="N112">
        <f t="shared" si="9"/>
        <v>26.1812</v>
      </c>
      <c r="O112">
        <v>15</v>
      </c>
      <c r="P112">
        <f t="shared" si="10"/>
        <v>41.181200000000004</v>
      </c>
      <c r="Q112" s="1">
        <f>((P112-O112)/O112)</f>
        <v>1.7454133333333337</v>
      </c>
    </row>
    <row r="113" spans="1:18" x14ac:dyDescent="0.25">
      <c r="A113" t="s">
        <v>54</v>
      </c>
      <c r="B113" t="s">
        <v>11</v>
      </c>
      <c r="C113" t="s">
        <v>20</v>
      </c>
      <c r="D113" t="s">
        <v>21</v>
      </c>
      <c r="E113" t="s">
        <v>14</v>
      </c>
      <c r="F113" t="s">
        <v>15</v>
      </c>
      <c r="G113" s="2" t="s">
        <v>15</v>
      </c>
      <c r="H113">
        <v>30</v>
      </c>
      <c r="I113" t="s">
        <v>16</v>
      </c>
      <c r="J113" t="s">
        <v>17</v>
      </c>
      <c r="K113" s="3">
        <v>36451</v>
      </c>
      <c r="L113" s="3">
        <v>43885</v>
      </c>
      <c r="M113" s="2">
        <f t="shared" si="8"/>
        <v>20.367123287671234</v>
      </c>
      <c r="N113" t="e">
        <f t="shared" si="9"/>
        <v>#VALUE!</v>
      </c>
      <c r="O113" t="s">
        <v>15</v>
      </c>
      <c r="P113" t="e">
        <f t="shared" si="10"/>
        <v>#VALUE!</v>
      </c>
      <c r="Q113" s="1" t="e">
        <f>((P113-O113)/P113)</f>
        <v>#VALUE!</v>
      </c>
    </row>
    <row r="114" spans="1:18" x14ac:dyDescent="0.25">
      <c r="A114" t="s">
        <v>54</v>
      </c>
      <c r="B114" t="s">
        <v>11</v>
      </c>
      <c r="C114" t="s">
        <v>25</v>
      </c>
      <c r="D114" t="s">
        <v>24</v>
      </c>
      <c r="E114" t="s">
        <v>14</v>
      </c>
      <c r="F114" t="s">
        <v>15</v>
      </c>
      <c r="G114" t="s">
        <v>15</v>
      </c>
      <c r="H114">
        <v>29</v>
      </c>
      <c r="I114" t="s">
        <v>17</v>
      </c>
      <c r="J114" t="s">
        <v>17</v>
      </c>
      <c r="K114" s="3">
        <v>36450</v>
      </c>
      <c r="L114" s="3">
        <v>43885</v>
      </c>
      <c r="M114" s="2">
        <f t="shared" si="8"/>
        <v>20.36986301369863</v>
      </c>
      <c r="N114" t="e">
        <f t="shared" si="9"/>
        <v>#VALUE!</v>
      </c>
      <c r="O114" t="s">
        <v>15</v>
      </c>
      <c r="P114" t="e">
        <f t="shared" si="10"/>
        <v>#VALUE!</v>
      </c>
      <c r="Q114" s="1" t="e">
        <f>((P114-O114)/P114)</f>
        <v>#VALUE!</v>
      </c>
    </row>
    <row r="115" spans="1:18" x14ac:dyDescent="0.25">
      <c r="A115" t="s">
        <v>54</v>
      </c>
      <c r="B115" t="s">
        <v>11</v>
      </c>
      <c r="C115" t="s">
        <v>26</v>
      </c>
      <c r="D115" t="s">
        <v>27</v>
      </c>
      <c r="E115" s="5" t="s">
        <v>28</v>
      </c>
      <c r="F115" t="s">
        <v>29</v>
      </c>
      <c r="G115">
        <v>-2.7879999999999998</v>
      </c>
      <c r="H115">
        <v>18</v>
      </c>
      <c r="I115" t="s">
        <v>17</v>
      </c>
      <c r="J115" t="s">
        <v>17</v>
      </c>
      <c r="K115" s="3">
        <v>38285</v>
      </c>
      <c r="L115" s="3">
        <v>43885</v>
      </c>
      <c r="M115" s="2">
        <f t="shared" si="8"/>
        <v>15.342465753424657</v>
      </c>
      <c r="N115">
        <f t="shared" si="9"/>
        <v>-42.774794520547943</v>
      </c>
      <c r="O115">
        <v>75</v>
      </c>
      <c r="P115">
        <f t="shared" si="10"/>
        <v>32.225205479452057</v>
      </c>
      <c r="Q115" s="1">
        <f>((P115-O115)/O115)</f>
        <v>-0.57033059360730587</v>
      </c>
      <c r="R115" t="s">
        <v>147</v>
      </c>
    </row>
    <row r="116" spans="1:18" x14ac:dyDescent="0.25">
      <c r="A116" s="5" t="s">
        <v>212</v>
      </c>
      <c r="B116" t="s">
        <v>11</v>
      </c>
      <c r="C116" t="s">
        <v>12</v>
      </c>
      <c r="D116" t="s">
        <v>13</v>
      </c>
      <c r="E116" s="4" t="s">
        <v>22</v>
      </c>
      <c r="F116" t="s">
        <v>23</v>
      </c>
      <c r="G116" s="6">
        <v>1.248</v>
      </c>
      <c r="H116" s="6">
        <v>66</v>
      </c>
      <c r="I116" s="5" t="s">
        <v>31</v>
      </c>
      <c r="J116" s="5" t="s">
        <v>17</v>
      </c>
      <c r="K116" s="3">
        <v>36080</v>
      </c>
      <c r="L116" s="3">
        <v>43699</v>
      </c>
      <c r="M116" s="2">
        <f t="shared" si="8"/>
        <v>20.873972602739727</v>
      </c>
      <c r="N116">
        <f t="shared" si="9"/>
        <v>26.050717808219179</v>
      </c>
      <c r="O116">
        <v>12</v>
      </c>
      <c r="P116">
        <f t="shared" si="10"/>
        <v>38.050717808219176</v>
      </c>
      <c r="Q116" s="1">
        <f>((P116-O116)/O116)</f>
        <v>2.1708931506849312</v>
      </c>
      <c r="R116" t="s">
        <v>137</v>
      </c>
    </row>
    <row r="117" spans="1:18" x14ac:dyDescent="0.25">
      <c r="A117" s="5" t="s">
        <v>212</v>
      </c>
      <c r="B117" t="s">
        <v>11</v>
      </c>
      <c r="C117" t="s">
        <v>296</v>
      </c>
      <c r="D117" t="s">
        <v>24</v>
      </c>
      <c r="E117" s="4" t="s">
        <v>22</v>
      </c>
      <c r="F117" t="s">
        <v>23</v>
      </c>
      <c r="G117" s="6">
        <v>4.8370000000000003E-2</v>
      </c>
      <c r="H117" s="6">
        <v>66</v>
      </c>
      <c r="I117" s="5" t="s">
        <v>17</v>
      </c>
      <c r="J117" s="5" t="s">
        <v>17</v>
      </c>
      <c r="K117" s="3">
        <v>35906</v>
      </c>
      <c r="L117" s="3">
        <v>43662</v>
      </c>
      <c r="M117" s="2">
        <f t="shared" si="8"/>
        <v>21.24931506849315</v>
      </c>
      <c r="N117">
        <f t="shared" si="9"/>
        <v>1.0278293698630137</v>
      </c>
      <c r="O117">
        <v>0.7</v>
      </c>
      <c r="P117">
        <f t="shared" si="10"/>
        <v>1.7278293698630136</v>
      </c>
      <c r="Q117" s="1">
        <f>((P117-O117)/O117)</f>
        <v>1.4683276712328768</v>
      </c>
      <c r="R117" t="s">
        <v>147</v>
      </c>
    </row>
    <row r="118" spans="1:18" x14ac:dyDescent="0.25">
      <c r="A118" s="5" t="s">
        <v>212</v>
      </c>
      <c r="B118" t="s">
        <v>11</v>
      </c>
      <c r="C118" t="s">
        <v>18</v>
      </c>
      <c r="D118" t="s">
        <v>19</v>
      </c>
      <c r="E118" s="5" t="s">
        <v>14</v>
      </c>
      <c r="F118" t="s">
        <v>15</v>
      </c>
      <c r="G118" t="s">
        <v>15</v>
      </c>
      <c r="H118" s="6">
        <v>64</v>
      </c>
      <c r="I118" s="5" t="s">
        <v>17</v>
      </c>
      <c r="J118" s="5" t="s">
        <v>17</v>
      </c>
      <c r="K118" s="3">
        <v>36080</v>
      </c>
      <c r="L118" s="3">
        <v>43662</v>
      </c>
      <c r="M118" s="2">
        <f t="shared" si="8"/>
        <v>20.772602739726029</v>
      </c>
      <c r="N118" t="e">
        <f t="shared" si="9"/>
        <v>#VALUE!</v>
      </c>
      <c r="O118" t="s">
        <v>15</v>
      </c>
      <c r="P118" t="e">
        <f t="shared" si="10"/>
        <v>#VALUE!</v>
      </c>
      <c r="Q118" s="1" t="e">
        <f>((P118-O118)/P118)</f>
        <v>#VALUE!</v>
      </c>
    </row>
    <row r="119" spans="1:18" x14ac:dyDescent="0.25">
      <c r="A119" s="5" t="s">
        <v>212</v>
      </c>
      <c r="B119" t="s">
        <v>11</v>
      </c>
      <c r="C119" t="s">
        <v>20</v>
      </c>
      <c r="D119" t="s">
        <v>21</v>
      </c>
      <c r="E119" t="s">
        <v>22</v>
      </c>
      <c r="F119" t="s">
        <v>23</v>
      </c>
      <c r="G119" s="2">
        <v>11.36</v>
      </c>
      <c r="H119">
        <v>59</v>
      </c>
      <c r="I119" t="s">
        <v>17</v>
      </c>
      <c r="J119" t="s">
        <v>17</v>
      </c>
      <c r="K119" s="3">
        <v>35906</v>
      </c>
      <c r="L119" s="3">
        <v>43662</v>
      </c>
      <c r="M119" s="2">
        <f t="shared" si="8"/>
        <v>21.24931506849315</v>
      </c>
      <c r="N119">
        <f t="shared" si="9"/>
        <v>241.39221917808217</v>
      </c>
      <c r="O119">
        <v>1025</v>
      </c>
      <c r="P119">
        <f t="shared" si="10"/>
        <v>1266.3922191780821</v>
      </c>
      <c r="Q119" s="1">
        <f>((P119-O119)/O119)</f>
        <v>0.23550460407617765</v>
      </c>
      <c r="R119" t="s">
        <v>142</v>
      </c>
    </row>
    <row r="120" spans="1:18" x14ac:dyDescent="0.25">
      <c r="A120" s="5" t="s">
        <v>212</v>
      </c>
      <c r="B120" t="s">
        <v>11</v>
      </c>
      <c r="C120" t="s">
        <v>25</v>
      </c>
      <c r="D120" t="s">
        <v>24</v>
      </c>
      <c r="E120" s="4" t="s">
        <v>22</v>
      </c>
      <c r="F120" t="s">
        <v>23</v>
      </c>
      <c r="G120">
        <v>4.3E-3</v>
      </c>
      <c r="H120" s="6">
        <v>63</v>
      </c>
      <c r="I120" s="5" t="s">
        <v>17</v>
      </c>
      <c r="J120" s="5" t="s">
        <v>17</v>
      </c>
      <c r="K120" s="3">
        <v>35906</v>
      </c>
      <c r="L120" s="3">
        <v>43662</v>
      </c>
      <c r="M120" s="2">
        <f t="shared" si="8"/>
        <v>21.24931506849315</v>
      </c>
      <c r="N120">
        <f t="shared" si="9"/>
        <v>9.1372054794520541E-2</v>
      </c>
      <c r="O120">
        <v>3.5000000000000003E-2</v>
      </c>
      <c r="P120">
        <f t="shared" si="10"/>
        <v>0.12637205479452054</v>
      </c>
      <c r="Q120" s="1">
        <f>((P120-O120)/O120)</f>
        <v>2.610630136986301</v>
      </c>
    </row>
    <row r="121" spans="1:18" x14ac:dyDescent="0.25">
      <c r="A121" s="5" t="s">
        <v>212</v>
      </c>
      <c r="B121" t="s">
        <v>11</v>
      </c>
      <c r="C121" t="s">
        <v>26</v>
      </c>
      <c r="D121" t="s">
        <v>27</v>
      </c>
      <c r="E121" s="5" t="s">
        <v>14</v>
      </c>
      <c r="F121" t="s">
        <v>15</v>
      </c>
      <c r="G121" t="s">
        <v>15</v>
      </c>
      <c r="H121" s="6">
        <v>63</v>
      </c>
      <c r="I121" s="5" t="s">
        <v>17</v>
      </c>
      <c r="J121" s="5" t="s">
        <v>17</v>
      </c>
      <c r="K121" s="3">
        <v>36080</v>
      </c>
      <c r="L121" s="3">
        <v>43662</v>
      </c>
      <c r="M121" s="2">
        <f t="shared" si="8"/>
        <v>20.772602739726029</v>
      </c>
      <c r="N121" t="e">
        <f t="shared" si="9"/>
        <v>#VALUE!</v>
      </c>
      <c r="O121" t="s">
        <v>15</v>
      </c>
      <c r="P121" t="e">
        <f t="shared" si="10"/>
        <v>#VALUE!</v>
      </c>
      <c r="Q121" s="1" t="e">
        <f>((P121-O121)/P121)</f>
        <v>#VALUE!</v>
      </c>
    </row>
    <row r="122" spans="1:18" x14ac:dyDescent="0.25">
      <c r="A122" t="s">
        <v>55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15</v>
      </c>
      <c r="H122">
        <v>20</v>
      </c>
      <c r="I122" t="s">
        <v>31</v>
      </c>
      <c r="J122" t="s">
        <v>16</v>
      </c>
      <c r="K122" s="3">
        <v>37315</v>
      </c>
      <c r="L122" s="3">
        <v>42921</v>
      </c>
      <c r="M122" s="2">
        <f t="shared" si="8"/>
        <v>15.358904109589041</v>
      </c>
      <c r="N122" t="e">
        <f t="shared" si="9"/>
        <v>#VALUE!</v>
      </c>
      <c r="O122" t="s">
        <v>15</v>
      </c>
      <c r="P122" t="e">
        <f t="shared" si="10"/>
        <v>#VALUE!</v>
      </c>
      <c r="Q122" s="1" t="e">
        <f>((P122-O122)/P122)</f>
        <v>#VALUE!</v>
      </c>
    </row>
    <row r="123" spans="1:18" x14ac:dyDescent="0.25">
      <c r="A123" t="s">
        <v>55</v>
      </c>
      <c r="B123" t="s">
        <v>11</v>
      </c>
      <c r="C123" t="s">
        <v>296</v>
      </c>
      <c r="D123" t="s">
        <v>24</v>
      </c>
      <c r="E123" t="s">
        <v>14</v>
      </c>
      <c r="F123" t="s">
        <v>15</v>
      </c>
      <c r="G123" t="s">
        <v>15</v>
      </c>
      <c r="H123">
        <v>24</v>
      </c>
      <c r="I123" t="s">
        <v>16</v>
      </c>
      <c r="J123" t="s">
        <v>17</v>
      </c>
      <c r="K123" s="3">
        <v>35899</v>
      </c>
      <c r="L123" s="3">
        <v>42921</v>
      </c>
      <c r="M123" s="2">
        <f t="shared" si="8"/>
        <v>19.238356164383561</v>
      </c>
      <c r="N123" t="e">
        <f t="shared" si="9"/>
        <v>#VALUE!</v>
      </c>
      <c r="O123" t="s">
        <v>15</v>
      </c>
      <c r="P123" t="e">
        <f t="shared" si="10"/>
        <v>#VALUE!</v>
      </c>
      <c r="Q123" s="1" t="e">
        <f>((P123-O123)/P123)</f>
        <v>#VALUE!</v>
      </c>
    </row>
    <row r="124" spans="1:18" x14ac:dyDescent="0.25">
      <c r="A124" t="s">
        <v>55</v>
      </c>
      <c r="B124" t="s">
        <v>11</v>
      </c>
      <c r="C124" t="s">
        <v>18</v>
      </c>
      <c r="D124" t="s">
        <v>19</v>
      </c>
      <c r="E124" t="s">
        <v>14</v>
      </c>
      <c r="F124" t="s">
        <v>15</v>
      </c>
      <c r="G124" t="s">
        <v>15</v>
      </c>
      <c r="H124">
        <v>15</v>
      </c>
      <c r="I124" t="s">
        <v>16</v>
      </c>
      <c r="J124" t="s">
        <v>17</v>
      </c>
      <c r="K124" s="3">
        <v>37315</v>
      </c>
      <c r="L124" s="3">
        <v>42921</v>
      </c>
      <c r="M124" s="2">
        <f t="shared" si="8"/>
        <v>15.358904109589041</v>
      </c>
      <c r="N124" t="e">
        <f t="shared" si="9"/>
        <v>#VALUE!</v>
      </c>
      <c r="O124" t="s">
        <v>15</v>
      </c>
      <c r="P124" t="e">
        <f t="shared" si="10"/>
        <v>#VALUE!</v>
      </c>
      <c r="Q124" s="1" t="e">
        <f>((P124-O124)/P124)</f>
        <v>#VALUE!</v>
      </c>
    </row>
    <row r="125" spans="1:18" x14ac:dyDescent="0.25">
      <c r="A125" t="s">
        <v>55</v>
      </c>
      <c r="B125" t="s">
        <v>11</v>
      </c>
      <c r="C125" t="s">
        <v>20</v>
      </c>
      <c r="D125" t="s">
        <v>21</v>
      </c>
      <c r="E125" t="s">
        <v>22</v>
      </c>
      <c r="F125" t="s">
        <v>23</v>
      </c>
      <c r="G125" s="2">
        <v>9.6989999999999998</v>
      </c>
      <c r="H125">
        <v>28</v>
      </c>
      <c r="I125" t="s">
        <v>16</v>
      </c>
      <c r="J125" t="s">
        <v>31</v>
      </c>
      <c r="K125" s="3">
        <v>35669</v>
      </c>
      <c r="L125" s="3">
        <v>42957</v>
      </c>
      <c r="M125" s="2">
        <f t="shared" si="8"/>
        <v>19.967123287671232</v>
      </c>
      <c r="N125">
        <f t="shared" si="9"/>
        <v>193.66112876712327</v>
      </c>
      <c r="O125">
        <v>175</v>
      </c>
      <c r="P125">
        <f t="shared" si="10"/>
        <v>368.66112876712327</v>
      </c>
      <c r="Q125" s="1">
        <f>((P125-O125)/O125)</f>
        <v>1.1066350215264187</v>
      </c>
      <c r="R125" t="s">
        <v>142</v>
      </c>
    </row>
    <row r="126" spans="1:18" x14ac:dyDescent="0.25">
      <c r="A126" t="s">
        <v>55</v>
      </c>
      <c r="B126" t="s">
        <v>11</v>
      </c>
      <c r="C126" t="s">
        <v>25</v>
      </c>
      <c r="D126" t="s">
        <v>24</v>
      </c>
      <c r="E126" t="s">
        <v>14</v>
      </c>
      <c r="F126" t="s">
        <v>15</v>
      </c>
      <c r="G126" t="s">
        <v>15</v>
      </c>
      <c r="H126">
        <v>24</v>
      </c>
      <c r="I126" t="s">
        <v>16</v>
      </c>
      <c r="J126" t="s">
        <v>17</v>
      </c>
      <c r="K126" s="3">
        <v>35889</v>
      </c>
      <c r="L126" s="3">
        <v>42921</v>
      </c>
      <c r="M126" s="2">
        <f t="shared" si="8"/>
        <v>19.265753424657536</v>
      </c>
      <c r="N126" t="e">
        <f t="shared" si="9"/>
        <v>#VALUE!</v>
      </c>
      <c r="O126" t="s">
        <v>15</v>
      </c>
      <c r="P126" t="e">
        <f t="shared" si="10"/>
        <v>#VALUE!</v>
      </c>
      <c r="Q126" s="1" t="e">
        <f>((P126-O126)/P126)</f>
        <v>#VALUE!</v>
      </c>
    </row>
    <row r="127" spans="1:18" x14ac:dyDescent="0.25">
      <c r="A127" t="s">
        <v>55</v>
      </c>
      <c r="B127" t="s">
        <v>11</v>
      </c>
      <c r="C127" t="s">
        <v>26</v>
      </c>
      <c r="D127" t="s">
        <v>27</v>
      </c>
      <c r="E127" s="4" t="s">
        <v>32</v>
      </c>
      <c r="F127" t="s">
        <v>29</v>
      </c>
      <c r="G127">
        <v>-1.2589999999999999</v>
      </c>
      <c r="H127">
        <v>18</v>
      </c>
      <c r="I127" t="s">
        <v>17</v>
      </c>
      <c r="J127" t="s">
        <v>17</v>
      </c>
      <c r="K127" s="3">
        <v>37315</v>
      </c>
      <c r="L127" s="3">
        <v>42991</v>
      </c>
      <c r="M127" s="2">
        <f t="shared" si="8"/>
        <v>15.550684931506849</v>
      </c>
      <c r="N127">
        <f t="shared" si="9"/>
        <v>-19.578312328767122</v>
      </c>
      <c r="O127">
        <v>63.5</v>
      </c>
      <c r="P127">
        <f t="shared" si="10"/>
        <v>43.921687671232874</v>
      </c>
      <c r="Q127" s="1">
        <f>((P127-O127)/O127)</f>
        <v>-0.3083198791931831</v>
      </c>
      <c r="R127" t="s">
        <v>147</v>
      </c>
    </row>
    <row r="128" spans="1:18" x14ac:dyDescent="0.25">
      <c r="A128" t="s">
        <v>211</v>
      </c>
      <c r="B128" t="s">
        <v>11</v>
      </c>
      <c r="C128" t="s">
        <v>12</v>
      </c>
      <c r="D128" t="s">
        <v>13</v>
      </c>
      <c r="E128" s="5" t="s">
        <v>40</v>
      </c>
      <c r="F128" t="s">
        <v>23</v>
      </c>
      <c r="G128">
        <v>0.1598</v>
      </c>
      <c r="H128">
        <v>25</v>
      </c>
      <c r="I128" t="s">
        <v>16</v>
      </c>
      <c r="J128" t="s">
        <v>17</v>
      </c>
      <c r="K128" s="3">
        <v>38313</v>
      </c>
      <c r="L128" s="3">
        <v>44054</v>
      </c>
      <c r="M128" s="2">
        <f t="shared" si="8"/>
        <v>15.728767123287671</v>
      </c>
      <c r="N128">
        <f t="shared" si="9"/>
        <v>2.5134569863013696</v>
      </c>
      <c r="O128">
        <v>3.8</v>
      </c>
      <c r="P128">
        <f t="shared" si="10"/>
        <v>6.3134569863013699</v>
      </c>
      <c r="Q128" s="1">
        <f>((P128-O128)/O128)</f>
        <v>0.66143604902667641</v>
      </c>
      <c r="R128" t="s">
        <v>138</v>
      </c>
    </row>
    <row r="129" spans="1:18" x14ac:dyDescent="0.25">
      <c r="A129" t="s">
        <v>211</v>
      </c>
      <c r="B129" t="s">
        <v>11</v>
      </c>
      <c r="C129" t="s">
        <v>296</v>
      </c>
      <c r="D129" t="s">
        <v>24</v>
      </c>
      <c r="E129" t="s">
        <v>14</v>
      </c>
      <c r="F129" t="s">
        <v>15</v>
      </c>
      <c r="G129" t="s">
        <v>15</v>
      </c>
      <c r="H129">
        <v>29</v>
      </c>
      <c r="I129" t="s">
        <v>16</v>
      </c>
      <c r="J129" t="s">
        <v>16</v>
      </c>
      <c r="K129" s="3">
        <v>37182</v>
      </c>
      <c r="L129" s="3">
        <v>44054</v>
      </c>
      <c r="M129" s="2">
        <f t="shared" si="8"/>
        <v>18.827397260273973</v>
      </c>
      <c r="N129" t="e">
        <f t="shared" si="9"/>
        <v>#VALUE!</v>
      </c>
      <c r="O129" t="s">
        <v>15</v>
      </c>
      <c r="P129" t="e">
        <f t="shared" si="10"/>
        <v>#VALUE!</v>
      </c>
      <c r="Q129" s="1" t="e">
        <f>((P129-O129)/P129)</f>
        <v>#VALUE!</v>
      </c>
    </row>
    <row r="130" spans="1:18" x14ac:dyDescent="0.25">
      <c r="A130" t="s">
        <v>211</v>
      </c>
      <c r="B130" t="s">
        <v>11</v>
      </c>
      <c r="C130" t="s">
        <v>18</v>
      </c>
      <c r="D130" t="s">
        <v>19</v>
      </c>
      <c r="E130" t="s">
        <v>14</v>
      </c>
      <c r="F130" t="s">
        <v>15</v>
      </c>
      <c r="G130" t="s">
        <v>15</v>
      </c>
      <c r="H130">
        <v>26</v>
      </c>
      <c r="I130" t="s">
        <v>31</v>
      </c>
      <c r="J130" t="s">
        <v>17</v>
      </c>
      <c r="K130" s="3">
        <v>37172</v>
      </c>
      <c r="L130" s="3">
        <v>44054</v>
      </c>
      <c r="M130" s="2">
        <f t="shared" si="8"/>
        <v>18.854794520547944</v>
      </c>
      <c r="N130" t="e">
        <f t="shared" si="9"/>
        <v>#VALUE!</v>
      </c>
      <c r="O130" t="s">
        <v>15</v>
      </c>
      <c r="P130" t="e">
        <f t="shared" si="10"/>
        <v>#VALUE!</v>
      </c>
      <c r="Q130" s="1" t="e">
        <f>((P130-O130)/P130)</f>
        <v>#VALUE!</v>
      </c>
    </row>
    <row r="131" spans="1:18" x14ac:dyDescent="0.25">
      <c r="A131" t="s">
        <v>211</v>
      </c>
      <c r="B131" t="s">
        <v>11</v>
      </c>
      <c r="C131" t="s">
        <v>20</v>
      </c>
      <c r="D131" t="s">
        <v>21</v>
      </c>
      <c r="E131" t="s">
        <v>38</v>
      </c>
      <c r="F131" t="s">
        <v>23</v>
      </c>
      <c r="G131" s="2">
        <v>1.9430000000000001</v>
      </c>
      <c r="H131">
        <v>31</v>
      </c>
      <c r="I131" t="s">
        <v>31</v>
      </c>
      <c r="J131" t="s">
        <v>16</v>
      </c>
      <c r="K131" s="3">
        <v>37182</v>
      </c>
      <c r="L131" s="3">
        <v>44140</v>
      </c>
      <c r="M131" s="2">
        <f t="shared" si="8"/>
        <v>19.063013698630137</v>
      </c>
      <c r="N131">
        <f t="shared" si="9"/>
        <v>37.039435616438354</v>
      </c>
      <c r="O131">
        <v>100</v>
      </c>
      <c r="P131">
        <f t="shared" si="10"/>
        <v>137.03943561643837</v>
      </c>
      <c r="Q131" s="1">
        <f>((P131-O131)/O131)</f>
        <v>0.37039435616438365</v>
      </c>
      <c r="R131" t="s">
        <v>170</v>
      </c>
    </row>
    <row r="132" spans="1:18" x14ac:dyDescent="0.25">
      <c r="A132" t="s">
        <v>211</v>
      </c>
      <c r="B132" t="s">
        <v>11</v>
      </c>
      <c r="C132" t="s">
        <v>25</v>
      </c>
      <c r="D132" t="s">
        <v>24</v>
      </c>
      <c r="E132" t="s">
        <v>14</v>
      </c>
      <c r="F132" t="s">
        <v>15</v>
      </c>
      <c r="G132" t="s">
        <v>15</v>
      </c>
      <c r="H132">
        <v>25</v>
      </c>
      <c r="I132" t="s">
        <v>16</v>
      </c>
      <c r="J132" t="s">
        <v>16</v>
      </c>
      <c r="K132" s="3">
        <v>37172</v>
      </c>
      <c r="L132" s="3">
        <v>44054</v>
      </c>
      <c r="M132" s="2">
        <f t="shared" si="8"/>
        <v>18.854794520547944</v>
      </c>
      <c r="N132" t="e">
        <f t="shared" si="9"/>
        <v>#VALUE!</v>
      </c>
      <c r="O132" t="s">
        <v>15</v>
      </c>
      <c r="P132" t="e">
        <f t="shared" si="10"/>
        <v>#VALUE!</v>
      </c>
      <c r="Q132" s="1" t="e">
        <f>((P132-O132)/P132)</f>
        <v>#VALUE!</v>
      </c>
      <c r="R132" t="s">
        <v>171</v>
      </c>
    </row>
    <row r="133" spans="1:18" x14ac:dyDescent="0.25">
      <c r="A133" t="s">
        <v>211</v>
      </c>
      <c r="B133" t="s">
        <v>11</v>
      </c>
      <c r="C133" t="s">
        <v>26</v>
      </c>
      <c r="D133" t="s">
        <v>27</v>
      </c>
      <c r="E133" t="s">
        <v>14</v>
      </c>
      <c r="F133" t="s">
        <v>15</v>
      </c>
      <c r="G133" t="s">
        <v>15</v>
      </c>
      <c r="H133">
        <v>29</v>
      </c>
      <c r="I133" t="s">
        <v>16</v>
      </c>
      <c r="J133" t="s">
        <v>17</v>
      </c>
      <c r="K133" s="3">
        <v>37172</v>
      </c>
      <c r="L133" s="3">
        <v>44054</v>
      </c>
      <c r="M133" s="2">
        <f t="shared" si="8"/>
        <v>18.854794520547944</v>
      </c>
      <c r="N133" t="e">
        <f t="shared" si="9"/>
        <v>#VALUE!</v>
      </c>
      <c r="O133" t="s">
        <v>15</v>
      </c>
      <c r="P133" t="e">
        <f t="shared" si="10"/>
        <v>#VALUE!</v>
      </c>
      <c r="Q133" s="1" t="e">
        <f>((P133-O133)/P133)</f>
        <v>#VALUE!</v>
      </c>
    </row>
    <row r="134" spans="1:18" x14ac:dyDescent="0.25">
      <c r="A134" t="s">
        <v>56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15</v>
      </c>
      <c r="H134">
        <v>18</v>
      </c>
      <c r="I134" t="s">
        <v>16</v>
      </c>
      <c r="J134" t="s">
        <v>33</v>
      </c>
      <c r="K134" s="3">
        <v>37580</v>
      </c>
      <c r="L134" s="3">
        <v>43654</v>
      </c>
      <c r="M134" s="2">
        <f t="shared" si="8"/>
        <v>16.641095890410959</v>
      </c>
      <c r="N134" t="e">
        <f t="shared" si="9"/>
        <v>#VALUE!</v>
      </c>
      <c r="O134" t="s">
        <v>15</v>
      </c>
      <c r="P134" t="e">
        <f t="shared" si="10"/>
        <v>#VALUE!</v>
      </c>
      <c r="Q134" s="1" t="e">
        <f>((P134-O134)/P134)</f>
        <v>#VALUE!</v>
      </c>
    </row>
    <row r="135" spans="1:18" x14ac:dyDescent="0.25">
      <c r="A135" t="s">
        <v>56</v>
      </c>
      <c r="B135" t="s">
        <v>11</v>
      </c>
      <c r="C135" t="s">
        <v>296</v>
      </c>
      <c r="D135" t="s">
        <v>24</v>
      </c>
      <c r="E135" s="4" t="s">
        <v>38</v>
      </c>
      <c r="F135" t="s">
        <v>159</v>
      </c>
      <c r="G135">
        <v>1.644E-2</v>
      </c>
      <c r="H135">
        <v>25</v>
      </c>
      <c r="I135" t="s">
        <v>16</v>
      </c>
      <c r="J135" t="s">
        <v>16</v>
      </c>
      <c r="K135" s="3">
        <v>35961</v>
      </c>
      <c r="L135" s="3">
        <v>43692</v>
      </c>
      <c r="M135" s="2">
        <f t="shared" si="8"/>
        <v>21.18082191780822</v>
      </c>
      <c r="N135">
        <f t="shared" si="9"/>
        <v>0.34821271232876716</v>
      </c>
      <c r="O135">
        <v>0.55000000000000004</v>
      </c>
      <c r="P135">
        <f t="shared" si="10"/>
        <v>0.8982127123287672</v>
      </c>
      <c r="Q135" s="1">
        <f>((P135-O135)/O135)</f>
        <v>0.63311402241594028</v>
      </c>
      <c r="R135" t="s">
        <v>157</v>
      </c>
    </row>
    <row r="136" spans="1:18" x14ac:dyDescent="0.25">
      <c r="A136" t="s">
        <v>56</v>
      </c>
      <c r="B136" t="s">
        <v>11</v>
      </c>
      <c r="C136" t="s">
        <v>18</v>
      </c>
      <c r="D136" t="s">
        <v>19</v>
      </c>
      <c r="E136" s="4" t="s">
        <v>186</v>
      </c>
      <c r="F136" t="s">
        <v>15</v>
      </c>
      <c r="G136" t="s">
        <v>15</v>
      </c>
      <c r="H136">
        <v>12</v>
      </c>
      <c r="K136"/>
      <c r="L136"/>
      <c r="M136" s="2">
        <f t="shared" ref="M136:M199" si="11">(L136-K136)/365</f>
        <v>0</v>
      </c>
      <c r="N136" t="e">
        <f t="shared" ref="N136:N199" si="12">G136*M136</f>
        <v>#VALUE!</v>
      </c>
      <c r="O136" t="s">
        <v>15</v>
      </c>
      <c r="P136" t="e">
        <f t="shared" ref="P136:P199" si="13">O136+N136</f>
        <v>#VALUE!</v>
      </c>
      <c r="Q136" s="1" t="e">
        <f>((P136-O136)/P136)</f>
        <v>#VALUE!</v>
      </c>
      <c r="R136" t="s">
        <v>183</v>
      </c>
    </row>
    <row r="137" spans="1:18" x14ac:dyDescent="0.25">
      <c r="A137" t="s">
        <v>56</v>
      </c>
      <c r="B137" t="s">
        <v>11</v>
      </c>
      <c r="C137" t="s">
        <v>20</v>
      </c>
      <c r="D137" t="s">
        <v>21</v>
      </c>
      <c r="E137" t="s">
        <v>40</v>
      </c>
      <c r="F137" t="s">
        <v>23</v>
      </c>
      <c r="G137" s="2">
        <v>5.4880000000000004</v>
      </c>
      <c r="H137">
        <v>21</v>
      </c>
      <c r="I137" t="s">
        <v>16</v>
      </c>
      <c r="J137" t="s">
        <v>17</v>
      </c>
      <c r="K137" s="3">
        <v>35961</v>
      </c>
      <c r="L137" s="3">
        <v>43654</v>
      </c>
      <c r="M137" s="2">
        <f t="shared" si="11"/>
        <v>21.076712328767123</v>
      </c>
      <c r="N137">
        <f t="shared" si="12"/>
        <v>115.66899726027398</v>
      </c>
      <c r="O137">
        <v>335</v>
      </c>
      <c r="P137">
        <f t="shared" si="13"/>
        <v>450.66899726027395</v>
      </c>
      <c r="Q137" s="1">
        <f>((P137-O137)/O137)</f>
        <v>0.34528058883663865</v>
      </c>
      <c r="R137" t="s">
        <v>170</v>
      </c>
    </row>
    <row r="138" spans="1:18" x14ac:dyDescent="0.25">
      <c r="A138" t="s">
        <v>56</v>
      </c>
      <c r="B138" t="s">
        <v>11</v>
      </c>
      <c r="C138" t="s">
        <v>25</v>
      </c>
      <c r="D138" t="s">
        <v>24</v>
      </c>
      <c r="E138" t="s">
        <v>14</v>
      </c>
      <c r="F138" t="s">
        <v>15</v>
      </c>
      <c r="G138" t="s">
        <v>15</v>
      </c>
      <c r="H138">
        <v>25</v>
      </c>
      <c r="I138" t="s">
        <v>16</v>
      </c>
      <c r="J138" t="s">
        <v>17</v>
      </c>
      <c r="K138" s="3">
        <v>35961</v>
      </c>
      <c r="L138" s="3">
        <v>43654</v>
      </c>
      <c r="M138" s="2">
        <f t="shared" si="11"/>
        <v>21.076712328767123</v>
      </c>
      <c r="N138" t="e">
        <f t="shared" si="12"/>
        <v>#VALUE!</v>
      </c>
      <c r="O138" t="s">
        <v>15</v>
      </c>
      <c r="P138" t="e">
        <f t="shared" si="13"/>
        <v>#VALUE!</v>
      </c>
      <c r="Q138" s="1" t="e">
        <f>((P138-O138)/P138)</f>
        <v>#VALUE!</v>
      </c>
    </row>
    <row r="139" spans="1:18" x14ac:dyDescent="0.25">
      <c r="A139" t="s">
        <v>56</v>
      </c>
      <c r="B139" t="s">
        <v>11</v>
      </c>
      <c r="C139" t="s">
        <v>26</v>
      </c>
      <c r="D139" t="s">
        <v>27</v>
      </c>
      <c r="E139" t="s">
        <v>14</v>
      </c>
      <c r="F139" t="s">
        <v>15</v>
      </c>
      <c r="G139" t="s">
        <v>15</v>
      </c>
      <c r="H139">
        <v>19</v>
      </c>
      <c r="I139" t="s">
        <v>16</v>
      </c>
      <c r="J139" t="s">
        <v>17</v>
      </c>
      <c r="K139" s="3">
        <v>36836</v>
      </c>
      <c r="L139" s="3">
        <v>43654</v>
      </c>
      <c r="M139" s="2">
        <f t="shared" si="11"/>
        <v>18.67945205479452</v>
      </c>
      <c r="N139" t="e">
        <f t="shared" si="12"/>
        <v>#VALUE!</v>
      </c>
      <c r="O139" t="s">
        <v>15</v>
      </c>
      <c r="P139" t="e">
        <f t="shared" si="13"/>
        <v>#VALUE!</v>
      </c>
      <c r="Q139" s="1" t="e">
        <f>((P139-O139)/P139)</f>
        <v>#VALUE!</v>
      </c>
      <c r="R139" t="s">
        <v>165</v>
      </c>
    </row>
    <row r="140" spans="1:18" x14ac:dyDescent="0.25">
      <c r="A140" t="s">
        <v>57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15</v>
      </c>
      <c r="H140">
        <v>28</v>
      </c>
      <c r="I140" t="s">
        <v>33</v>
      </c>
      <c r="J140" t="s">
        <v>17</v>
      </c>
      <c r="K140" s="3">
        <v>37480</v>
      </c>
      <c r="L140" s="3">
        <v>43655</v>
      </c>
      <c r="M140" s="2">
        <f t="shared" si="11"/>
        <v>16.917808219178081</v>
      </c>
      <c r="N140" t="e">
        <f t="shared" si="12"/>
        <v>#VALUE!</v>
      </c>
      <c r="O140" t="s">
        <v>15</v>
      </c>
      <c r="P140" t="e">
        <f t="shared" si="13"/>
        <v>#VALUE!</v>
      </c>
      <c r="Q140" s="1" t="e">
        <f>((P140-O140)/P140)</f>
        <v>#VALUE!</v>
      </c>
    </row>
    <row r="141" spans="1:18" x14ac:dyDescent="0.25">
      <c r="A141" t="s">
        <v>57</v>
      </c>
      <c r="B141" t="s">
        <v>11</v>
      </c>
      <c r="C141" t="s">
        <v>296</v>
      </c>
      <c r="D141" t="s">
        <v>24</v>
      </c>
      <c r="E141" s="4" t="s">
        <v>38</v>
      </c>
      <c r="F141" t="s">
        <v>23</v>
      </c>
      <c r="G141">
        <v>8.9739999999999993E-3</v>
      </c>
      <c r="H141">
        <v>36</v>
      </c>
      <c r="I141" t="s">
        <v>33</v>
      </c>
      <c r="J141" t="s">
        <v>17</v>
      </c>
      <c r="K141" s="3">
        <v>35900</v>
      </c>
      <c r="L141" s="3">
        <v>43693</v>
      </c>
      <c r="M141" s="2">
        <f t="shared" si="11"/>
        <v>21.350684931506848</v>
      </c>
      <c r="N141">
        <f t="shared" si="12"/>
        <v>0.19160104657534244</v>
      </c>
      <c r="O141">
        <v>0.8</v>
      </c>
      <c r="P141">
        <f t="shared" si="13"/>
        <v>0.99160104657534243</v>
      </c>
      <c r="Q141" s="1">
        <f>((P141-O141)/O141)</f>
        <v>0.23950130821917798</v>
      </c>
      <c r="R141" t="s">
        <v>160</v>
      </c>
    </row>
    <row r="142" spans="1:18" x14ac:dyDescent="0.25">
      <c r="A142" t="s">
        <v>57</v>
      </c>
      <c r="B142" t="s">
        <v>11</v>
      </c>
      <c r="C142" t="s">
        <v>18</v>
      </c>
      <c r="D142" t="s">
        <v>19</v>
      </c>
      <c r="E142" t="s">
        <v>14</v>
      </c>
      <c r="F142" t="s">
        <v>15</v>
      </c>
      <c r="G142" t="s">
        <v>15</v>
      </c>
      <c r="H142">
        <v>21</v>
      </c>
      <c r="I142" t="s">
        <v>17</v>
      </c>
      <c r="J142" t="s">
        <v>17</v>
      </c>
      <c r="K142" s="3">
        <v>37202</v>
      </c>
      <c r="L142" s="3">
        <v>43655</v>
      </c>
      <c r="M142" s="2">
        <f t="shared" si="11"/>
        <v>17.67945205479452</v>
      </c>
      <c r="N142" t="e">
        <f t="shared" si="12"/>
        <v>#VALUE!</v>
      </c>
      <c r="O142" t="s">
        <v>15</v>
      </c>
      <c r="P142" t="e">
        <f t="shared" si="13"/>
        <v>#VALUE!</v>
      </c>
      <c r="Q142" s="1" t="e">
        <f>((P142-O142)/P142)</f>
        <v>#VALUE!</v>
      </c>
    </row>
    <row r="143" spans="1:18" x14ac:dyDescent="0.25">
      <c r="A143" t="s">
        <v>57</v>
      </c>
      <c r="B143" t="s">
        <v>11</v>
      </c>
      <c r="C143" t="s">
        <v>20</v>
      </c>
      <c r="D143" t="s">
        <v>21</v>
      </c>
      <c r="E143" t="s">
        <v>14</v>
      </c>
      <c r="F143" t="s">
        <v>15</v>
      </c>
      <c r="G143" s="2" t="s">
        <v>15</v>
      </c>
      <c r="H143">
        <v>38</v>
      </c>
      <c r="I143" t="s">
        <v>16</v>
      </c>
      <c r="J143" t="s">
        <v>17</v>
      </c>
      <c r="K143" s="3">
        <v>34561</v>
      </c>
      <c r="L143" s="3">
        <v>43655</v>
      </c>
      <c r="M143" s="2">
        <f t="shared" si="11"/>
        <v>24.915068493150685</v>
      </c>
      <c r="N143" t="e">
        <f t="shared" si="12"/>
        <v>#VALUE!</v>
      </c>
      <c r="O143" t="s">
        <v>15</v>
      </c>
      <c r="P143" t="e">
        <f t="shared" si="13"/>
        <v>#VALUE!</v>
      </c>
      <c r="Q143" s="1" t="e">
        <f>((P143-O143)/P143)</f>
        <v>#VALUE!</v>
      </c>
      <c r="R143" t="s">
        <v>197</v>
      </c>
    </row>
    <row r="144" spans="1:18" x14ac:dyDescent="0.25">
      <c r="A144" t="s">
        <v>57</v>
      </c>
      <c r="B144" t="s">
        <v>11</v>
      </c>
      <c r="C144" t="s">
        <v>25</v>
      </c>
      <c r="D144" t="s">
        <v>24</v>
      </c>
      <c r="E144" s="4" t="s">
        <v>38</v>
      </c>
      <c r="F144" t="s">
        <v>23</v>
      </c>
      <c r="G144">
        <v>2.098E-3</v>
      </c>
      <c r="H144">
        <v>36</v>
      </c>
      <c r="I144" t="s">
        <v>17</v>
      </c>
      <c r="J144" t="s">
        <v>17</v>
      </c>
      <c r="K144" s="3">
        <v>35900</v>
      </c>
      <c r="L144" s="3">
        <v>43655</v>
      </c>
      <c r="M144" s="2">
        <f t="shared" si="11"/>
        <v>21.246575342465754</v>
      </c>
      <c r="N144">
        <f t="shared" si="12"/>
        <v>4.4575315068493153E-2</v>
      </c>
      <c r="O144">
        <v>4.4999999999999998E-2</v>
      </c>
      <c r="P144">
        <f t="shared" si="13"/>
        <v>8.9575315068493144E-2</v>
      </c>
      <c r="Q144" s="1">
        <f>((P144-O144)/O144)</f>
        <v>0.99056255707762553</v>
      </c>
      <c r="R144" t="s">
        <v>147</v>
      </c>
    </row>
    <row r="145" spans="1:18" x14ac:dyDescent="0.25">
      <c r="A145" t="s">
        <v>57</v>
      </c>
      <c r="B145" t="s">
        <v>11</v>
      </c>
      <c r="C145" t="s">
        <v>26</v>
      </c>
      <c r="D145" t="s">
        <v>27</v>
      </c>
      <c r="E145" t="s">
        <v>14</v>
      </c>
      <c r="F145" t="s">
        <v>15</v>
      </c>
      <c r="G145" t="s">
        <v>15</v>
      </c>
      <c r="H145">
        <v>27</v>
      </c>
      <c r="I145" t="s">
        <v>17</v>
      </c>
      <c r="J145" t="s">
        <v>17</v>
      </c>
      <c r="K145" s="3">
        <v>37202</v>
      </c>
      <c r="L145" s="3">
        <v>43655</v>
      </c>
      <c r="M145" s="2">
        <f t="shared" si="11"/>
        <v>17.67945205479452</v>
      </c>
      <c r="N145" t="e">
        <f t="shared" si="12"/>
        <v>#VALUE!</v>
      </c>
      <c r="O145" t="s">
        <v>15</v>
      </c>
      <c r="P145" t="e">
        <f t="shared" si="13"/>
        <v>#VALUE!</v>
      </c>
      <c r="Q145" s="1" t="e">
        <f>((P145-O145)/P145)</f>
        <v>#VALUE!</v>
      </c>
    </row>
    <row r="146" spans="1:18" x14ac:dyDescent="0.25">
      <c r="A146" t="s">
        <v>220</v>
      </c>
      <c r="B146" t="s">
        <v>11</v>
      </c>
      <c r="C146" t="s">
        <v>12</v>
      </c>
      <c r="D146" t="s">
        <v>13</v>
      </c>
      <c r="E146" s="4" t="s">
        <v>22</v>
      </c>
      <c r="F146" t="s">
        <v>23</v>
      </c>
      <c r="G146">
        <v>0.1053</v>
      </c>
      <c r="H146">
        <v>19</v>
      </c>
      <c r="I146" t="s">
        <v>16</v>
      </c>
      <c r="J146" t="s">
        <v>16</v>
      </c>
      <c r="K146" s="3">
        <v>37650</v>
      </c>
      <c r="L146" s="3">
        <v>44501</v>
      </c>
      <c r="M146" s="2">
        <f t="shared" si="11"/>
        <v>18.769863013698629</v>
      </c>
      <c r="N146">
        <f t="shared" si="12"/>
        <v>1.9764665753424657</v>
      </c>
      <c r="O146">
        <v>1.2</v>
      </c>
      <c r="P146">
        <f t="shared" si="13"/>
        <v>3.1764665753424657</v>
      </c>
      <c r="Q146" s="1">
        <f>((P146-O146)/O146)</f>
        <v>1.6470554794520549</v>
      </c>
    </row>
    <row r="147" spans="1:18" x14ac:dyDescent="0.25">
      <c r="A147" t="s">
        <v>220</v>
      </c>
      <c r="B147" t="s">
        <v>11</v>
      </c>
      <c r="C147" t="s">
        <v>296</v>
      </c>
      <c r="D147" t="s">
        <v>24</v>
      </c>
      <c r="E147" s="4" t="s">
        <v>40</v>
      </c>
      <c r="F147" t="s">
        <v>23</v>
      </c>
      <c r="G147">
        <v>7.4830000000000001E-3</v>
      </c>
      <c r="H147">
        <v>25</v>
      </c>
      <c r="I147" t="s">
        <v>16</v>
      </c>
      <c r="J147" t="s">
        <v>17</v>
      </c>
      <c r="K147" s="3">
        <v>36446</v>
      </c>
      <c r="L147" s="3">
        <v>44507</v>
      </c>
      <c r="M147" s="2">
        <f t="shared" si="11"/>
        <v>22.084931506849315</v>
      </c>
      <c r="N147">
        <f t="shared" si="12"/>
        <v>0.16526154246575342</v>
      </c>
      <c r="O147">
        <v>0.34</v>
      </c>
      <c r="P147">
        <f t="shared" si="13"/>
        <v>0.50526154246575339</v>
      </c>
      <c r="Q147" s="1">
        <f>((P147-O147)/O147)</f>
        <v>0.48606336019339219</v>
      </c>
      <c r="R147" t="s">
        <v>160</v>
      </c>
    </row>
    <row r="148" spans="1:18" x14ac:dyDescent="0.25">
      <c r="A148" t="s">
        <v>220</v>
      </c>
      <c r="B148" t="s">
        <v>11</v>
      </c>
      <c r="C148" t="s">
        <v>18</v>
      </c>
      <c r="D148" t="s">
        <v>19</v>
      </c>
      <c r="E148" s="4" t="s">
        <v>186</v>
      </c>
      <c r="F148" t="s">
        <v>15</v>
      </c>
      <c r="G148" t="s">
        <v>15</v>
      </c>
      <c r="H148">
        <v>9</v>
      </c>
      <c r="K148"/>
      <c r="L148"/>
      <c r="M148" s="2">
        <f t="shared" si="11"/>
        <v>0</v>
      </c>
      <c r="N148" t="e">
        <f t="shared" si="12"/>
        <v>#VALUE!</v>
      </c>
      <c r="O148" t="s">
        <v>15</v>
      </c>
      <c r="P148" t="e">
        <f t="shared" si="13"/>
        <v>#VALUE!</v>
      </c>
      <c r="Q148" s="1" t="e">
        <f>((P148-O148)/P148)</f>
        <v>#VALUE!</v>
      </c>
      <c r="R148" t="s">
        <v>183</v>
      </c>
    </row>
    <row r="149" spans="1:18" x14ac:dyDescent="0.25">
      <c r="A149" t="s">
        <v>220</v>
      </c>
      <c r="B149" t="s">
        <v>11</v>
      </c>
      <c r="C149" t="s">
        <v>20</v>
      </c>
      <c r="D149" t="s">
        <v>21</v>
      </c>
      <c r="E149" t="s">
        <v>22</v>
      </c>
      <c r="F149" t="s">
        <v>23</v>
      </c>
      <c r="G149" s="2">
        <v>1.996</v>
      </c>
      <c r="H149">
        <v>21</v>
      </c>
      <c r="I149" t="s">
        <v>16</v>
      </c>
      <c r="J149" t="s">
        <v>17</v>
      </c>
      <c r="K149" s="3">
        <v>36445</v>
      </c>
      <c r="L149" s="3">
        <v>44507</v>
      </c>
      <c r="M149" s="2">
        <f t="shared" si="11"/>
        <v>22.087671232876712</v>
      </c>
      <c r="N149">
        <f t="shared" si="12"/>
        <v>44.086991780821918</v>
      </c>
      <c r="O149">
        <v>75</v>
      </c>
      <c r="P149">
        <f t="shared" si="13"/>
        <v>119.08699178082192</v>
      </c>
      <c r="Q149" s="1">
        <f>((P149-O149)/O149)</f>
        <v>0.58782655707762554</v>
      </c>
      <c r="R149" t="s">
        <v>142</v>
      </c>
    </row>
    <row r="150" spans="1:18" x14ac:dyDescent="0.25">
      <c r="A150" t="s">
        <v>220</v>
      </c>
      <c r="B150" t="s">
        <v>11</v>
      </c>
      <c r="C150" t="s">
        <v>25</v>
      </c>
      <c r="D150" t="s">
        <v>24</v>
      </c>
      <c r="E150" t="s">
        <v>14</v>
      </c>
      <c r="F150" t="s">
        <v>15</v>
      </c>
      <c r="G150" t="s">
        <v>15</v>
      </c>
      <c r="H150">
        <v>24</v>
      </c>
      <c r="I150" t="s">
        <v>16</v>
      </c>
      <c r="J150" t="s">
        <v>16</v>
      </c>
      <c r="K150" s="3">
        <v>36446</v>
      </c>
      <c r="L150" s="3">
        <v>44467</v>
      </c>
      <c r="M150" s="2">
        <f t="shared" si="11"/>
        <v>21.975342465753425</v>
      </c>
      <c r="N150" t="e">
        <f t="shared" si="12"/>
        <v>#VALUE!</v>
      </c>
      <c r="O150" t="s">
        <v>15</v>
      </c>
      <c r="P150" t="e">
        <f t="shared" si="13"/>
        <v>#VALUE!</v>
      </c>
      <c r="Q150" s="1" t="e">
        <f>((P150-O150)/P150)</f>
        <v>#VALUE!</v>
      </c>
      <c r="R150" t="s">
        <v>173</v>
      </c>
    </row>
    <row r="151" spans="1:18" x14ac:dyDescent="0.25">
      <c r="A151" t="s">
        <v>220</v>
      </c>
      <c r="B151" t="s">
        <v>11</v>
      </c>
      <c r="C151" t="s">
        <v>26</v>
      </c>
      <c r="D151" t="s">
        <v>27</v>
      </c>
      <c r="E151" t="s">
        <v>186</v>
      </c>
      <c r="F151" t="s">
        <v>15</v>
      </c>
      <c r="G151" t="s">
        <v>15</v>
      </c>
      <c r="H151">
        <v>14</v>
      </c>
      <c r="I151" t="s">
        <v>16</v>
      </c>
      <c r="J151" t="s">
        <v>17</v>
      </c>
      <c r="K151"/>
      <c r="L151"/>
      <c r="M151" s="2">
        <f t="shared" si="11"/>
        <v>0</v>
      </c>
      <c r="N151" t="e">
        <f t="shared" si="12"/>
        <v>#VALUE!</v>
      </c>
      <c r="O151" t="s">
        <v>15</v>
      </c>
      <c r="P151" t="e">
        <f t="shared" si="13"/>
        <v>#VALUE!</v>
      </c>
      <c r="Q151" s="1" t="e">
        <f>((P151-O151)/P151)</f>
        <v>#VALUE!</v>
      </c>
      <c r="R151" t="s">
        <v>203</v>
      </c>
    </row>
    <row r="152" spans="1:18" x14ac:dyDescent="0.25">
      <c r="A152" s="5" t="s">
        <v>291</v>
      </c>
      <c r="B152" t="s">
        <v>11</v>
      </c>
      <c r="C152" t="s">
        <v>12</v>
      </c>
      <c r="D152" t="s">
        <v>13</v>
      </c>
      <c r="E152" s="4" t="s">
        <v>22</v>
      </c>
      <c r="F152" t="s">
        <v>23</v>
      </c>
      <c r="G152" s="6">
        <v>0.46210000000000001</v>
      </c>
      <c r="H152" s="6">
        <v>49</v>
      </c>
      <c r="I152" s="5" t="s">
        <v>17</v>
      </c>
      <c r="J152" s="5" t="s">
        <v>17</v>
      </c>
      <c r="K152" s="3">
        <v>37546</v>
      </c>
      <c r="L152" s="3">
        <v>44880</v>
      </c>
      <c r="M152" s="2">
        <f t="shared" si="11"/>
        <v>20.093150684931508</v>
      </c>
      <c r="N152">
        <f t="shared" si="12"/>
        <v>9.2850449315068495</v>
      </c>
      <c r="O152">
        <v>5.5</v>
      </c>
      <c r="P152">
        <f t="shared" si="13"/>
        <v>14.78504493150685</v>
      </c>
      <c r="Q152" s="1">
        <f>((P152-O152)/O152)</f>
        <v>1.6881899875466999</v>
      </c>
      <c r="R152" t="s">
        <v>138</v>
      </c>
    </row>
    <row r="153" spans="1:18" x14ac:dyDescent="0.25">
      <c r="A153" s="5" t="s">
        <v>291</v>
      </c>
      <c r="B153" t="s">
        <v>11</v>
      </c>
      <c r="C153" t="s">
        <v>296</v>
      </c>
      <c r="D153" t="s">
        <v>24</v>
      </c>
      <c r="E153" t="s">
        <v>14</v>
      </c>
      <c r="F153" t="s">
        <v>15</v>
      </c>
      <c r="G153" t="s">
        <v>15</v>
      </c>
      <c r="H153" s="6">
        <v>32</v>
      </c>
      <c r="I153" s="5" t="s">
        <v>17</v>
      </c>
      <c r="J153" s="5" t="s">
        <v>17</v>
      </c>
      <c r="K153" s="3">
        <v>37546</v>
      </c>
      <c r="L153" s="3">
        <v>44844</v>
      </c>
      <c r="M153" s="2">
        <f t="shared" si="11"/>
        <v>19.994520547945207</v>
      </c>
      <c r="N153" t="e">
        <f t="shared" si="12"/>
        <v>#VALUE!</v>
      </c>
      <c r="O153" t="s">
        <v>15</v>
      </c>
      <c r="P153" t="e">
        <f t="shared" si="13"/>
        <v>#VALUE!</v>
      </c>
      <c r="Q153" s="1" t="e">
        <f t="shared" ref="Q153:Q158" si="14">((P153-O153)/P153)</f>
        <v>#VALUE!</v>
      </c>
      <c r="R153" t="s">
        <v>161</v>
      </c>
    </row>
    <row r="154" spans="1:18" x14ac:dyDescent="0.25">
      <c r="A154" s="5" t="s">
        <v>291</v>
      </c>
      <c r="B154" t="s">
        <v>11</v>
      </c>
      <c r="C154" t="s">
        <v>18</v>
      </c>
      <c r="D154" t="s">
        <v>19</v>
      </c>
      <c r="E154" s="5" t="s">
        <v>14</v>
      </c>
      <c r="F154" t="s">
        <v>15</v>
      </c>
      <c r="G154" t="s">
        <v>15</v>
      </c>
      <c r="H154" s="6">
        <v>31</v>
      </c>
      <c r="I154" s="5" t="s">
        <v>31</v>
      </c>
      <c r="J154" s="5" t="s">
        <v>17</v>
      </c>
      <c r="K154" s="3">
        <v>37546</v>
      </c>
      <c r="L154" s="3">
        <v>44844</v>
      </c>
      <c r="M154" s="2">
        <f t="shared" si="11"/>
        <v>19.994520547945207</v>
      </c>
      <c r="N154" t="e">
        <f t="shared" si="12"/>
        <v>#VALUE!</v>
      </c>
      <c r="O154" t="s">
        <v>15</v>
      </c>
      <c r="P154" t="e">
        <f t="shared" si="13"/>
        <v>#VALUE!</v>
      </c>
      <c r="Q154" s="1" t="e">
        <f t="shared" si="14"/>
        <v>#VALUE!</v>
      </c>
    </row>
    <row r="155" spans="1:18" x14ac:dyDescent="0.25">
      <c r="A155" s="5" t="s">
        <v>291</v>
      </c>
      <c r="B155" t="s">
        <v>11</v>
      </c>
      <c r="C155" t="s">
        <v>20</v>
      </c>
      <c r="D155" t="s">
        <v>21</v>
      </c>
      <c r="E155" t="s">
        <v>14</v>
      </c>
      <c r="F155" t="s">
        <v>15</v>
      </c>
      <c r="G155" s="2" t="s">
        <v>15</v>
      </c>
      <c r="H155">
        <v>26</v>
      </c>
      <c r="I155" t="s">
        <v>17</v>
      </c>
      <c r="J155" t="s">
        <v>17</v>
      </c>
      <c r="K155" s="3">
        <v>37546</v>
      </c>
      <c r="L155" s="3">
        <v>44844</v>
      </c>
      <c r="M155" s="2">
        <f t="shared" si="11"/>
        <v>19.994520547945207</v>
      </c>
      <c r="N155" t="e">
        <f t="shared" si="12"/>
        <v>#VALUE!</v>
      </c>
      <c r="O155" t="s">
        <v>15</v>
      </c>
      <c r="P155" t="e">
        <f t="shared" si="13"/>
        <v>#VALUE!</v>
      </c>
      <c r="Q155" s="1" t="e">
        <f t="shared" si="14"/>
        <v>#VALUE!</v>
      </c>
    </row>
    <row r="156" spans="1:18" x14ac:dyDescent="0.25">
      <c r="A156" s="5" t="s">
        <v>291</v>
      </c>
      <c r="B156" t="s">
        <v>11</v>
      </c>
      <c r="C156" t="s">
        <v>25</v>
      </c>
      <c r="D156" t="s">
        <v>24</v>
      </c>
      <c r="E156" t="s">
        <v>14</v>
      </c>
      <c r="F156" t="s">
        <v>15</v>
      </c>
      <c r="G156" t="s">
        <v>15</v>
      </c>
      <c r="H156" s="6">
        <v>31</v>
      </c>
      <c r="I156" s="5" t="s">
        <v>16</v>
      </c>
      <c r="J156" s="5" t="s">
        <v>17</v>
      </c>
      <c r="K156" s="3">
        <v>37546</v>
      </c>
      <c r="L156" s="3">
        <v>44844</v>
      </c>
      <c r="M156" s="2">
        <f t="shared" si="11"/>
        <v>19.994520547945207</v>
      </c>
      <c r="N156" t="e">
        <f t="shared" si="12"/>
        <v>#VALUE!</v>
      </c>
      <c r="O156" t="s">
        <v>15</v>
      </c>
      <c r="P156" t="e">
        <f t="shared" si="13"/>
        <v>#VALUE!</v>
      </c>
      <c r="Q156" s="1" t="e">
        <f t="shared" si="14"/>
        <v>#VALUE!</v>
      </c>
      <c r="R156" t="s">
        <v>173</v>
      </c>
    </row>
    <row r="157" spans="1:18" x14ac:dyDescent="0.25">
      <c r="A157" s="5" t="s">
        <v>291</v>
      </c>
      <c r="B157" t="s">
        <v>11</v>
      </c>
      <c r="C157" t="s">
        <v>26</v>
      </c>
      <c r="D157" t="s">
        <v>27</v>
      </c>
      <c r="E157" s="5" t="s">
        <v>14</v>
      </c>
      <c r="F157" t="s">
        <v>15</v>
      </c>
      <c r="G157" t="s">
        <v>15</v>
      </c>
      <c r="H157" s="6">
        <v>31</v>
      </c>
      <c r="I157" s="5" t="s">
        <v>31</v>
      </c>
      <c r="J157" s="5" t="s">
        <v>17</v>
      </c>
      <c r="K157" s="3">
        <v>37546</v>
      </c>
      <c r="L157" s="3">
        <v>44844</v>
      </c>
      <c r="M157" s="2">
        <f t="shared" si="11"/>
        <v>19.994520547945207</v>
      </c>
      <c r="N157" t="e">
        <f t="shared" si="12"/>
        <v>#VALUE!</v>
      </c>
      <c r="O157" t="s">
        <v>15</v>
      </c>
      <c r="P157" t="e">
        <f t="shared" si="13"/>
        <v>#VALUE!</v>
      </c>
      <c r="Q157" s="1" t="e">
        <f t="shared" si="14"/>
        <v>#VALUE!</v>
      </c>
    </row>
    <row r="158" spans="1:18" x14ac:dyDescent="0.25">
      <c r="A158" t="s">
        <v>59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15</v>
      </c>
      <c r="H158">
        <v>38</v>
      </c>
      <c r="I158" t="s">
        <v>17</v>
      </c>
      <c r="J158" t="s">
        <v>17</v>
      </c>
      <c r="K158" s="3">
        <v>37592</v>
      </c>
      <c r="L158" s="3">
        <v>44881</v>
      </c>
      <c r="M158" s="2">
        <f t="shared" si="11"/>
        <v>19.969863013698632</v>
      </c>
      <c r="N158" t="e">
        <f t="shared" si="12"/>
        <v>#VALUE!</v>
      </c>
      <c r="O158" t="s">
        <v>15</v>
      </c>
      <c r="P158" t="e">
        <f t="shared" si="13"/>
        <v>#VALUE!</v>
      </c>
      <c r="Q158" s="1" t="e">
        <f t="shared" si="14"/>
        <v>#VALUE!</v>
      </c>
    </row>
    <row r="159" spans="1:18" x14ac:dyDescent="0.25">
      <c r="A159" t="s">
        <v>59</v>
      </c>
      <c r="B159" t="s">
        <v>11</v>
      </c>
      <c r="C159" t="s">
        <v>296</v>
      </c>
      <c r="D159" t="s">
        <v>24</v>
      </c>
      <c r="E159" s="4" t="s">
        <v>22</v>
      </c>
      <c r="F159" t="s">
        <v>23</v>
      </c>
      <c r="G159">
        <v>7.5079999999999999E-3</v>
      </c>
      <c r="H159">
        <v>46</v>
      </c>
      <c r="I159" t="s">
        <v>17</v>
      </c>
      <c r="J159" t="s">
        <v>17</v>
      </c>
      <c r="K159" s="3">
        <v>36467</v>
      </c>
      <c r="L159" s="3">
        <v>44881</v>
      </c>
      <c r="M159" s="2">
        <f t="shared" si="11"/>
        <v>23.052054794520547</v>
      </c>
      <c r="N159">
        <f t="shared" si="12"/>
        <v>0.17307482739726027</v>
      </c>
      <c r="O159">
        <v>0.65</v>
      </c>
      <c r="P159">
        <f t="shared" si="13"/>
        <v>0.82307482739726034</v>
      </c>
      <c r="Q159" s="1">
        <f>((P159-O159)/O159)</f>
        <v>0.26626896522655435</v>
      </c>
      <c r="R159" t="s">
        <v>147</v>
      </c>
    </row>
    <row r="160" spans="1:18" x14ac:dyDescent="0.25">
      <c r="A160" t="s">
        <v>59</v>
      </c>
      <c r="B160" t="s">
        <v>11</v>
      </c>
      <c r="C160" t="s">
        <v>18</v>
      </c>
      <c r="D160" t="s">
        <v>19</v>
      </c>
      <c r="E160" t="s">
        <v>14</v>
      </c>
      <c r="F160" t="s">
        <v>15</v>
      </c>
      <c r="G160" t="s">
        <v>15</v>
      </c>
      <c r="H160">
        <v>30</v>
      </c>
      <c r="I160" t="s">
        <v>17</v>
      </c>
      <c r="J160" t="s">
        <v>17</v>
      </c>
      <c r="K160" s="3">
        <v>38306</v>
      </c>
      <c r="L160" s="3">
        <v>44881</v>
      </c>
      <c r="M160" s="2">
        <f t="shared" si="11"/>
        <v>18.013698630136986</v>
      </c>
      <c r="N160" t="e">
        <f t="shared" si="12"/>
        <v>#VALUE!</v>
      </c>
      <c r="O160" t="s">
        <v>15</v>
      </c>
      <c r="P160" t="e">
        <f t="shared" si="13"/>
        <v>#VALUE!</v>
      </c>
      <c r="Q160" s="1" t="e">
        <f>((P160-O160)/P160)</f>
        <v>#VALUE!</v>
      </c>
    </row>
    <row r="161" spans="1:18" x14ac:dyDescent="0.25">
      <c r="A161" t="s">
        <v>59</v>
      </c>
      <c r="B161" t="s">
        <v>11</v>
      </c>
      <c r="C161" t="s">
        <v>20</v>
      </c>
      <c r="D161" t="s">
        <v>21</v>
      </c>
      <c r="E161" t="s">
        <v>28</v>
      </c>
      <c r="F161" t="s">
        <v>29</v>
      </c>
      <c r="G161" s="2">
        <v>-2.0640000000000001</v>
      </c>
      <c r="H161">
        <v>43</v>
      </c>
      <c r="I161" t="s">
        <v>17</v>
      </c>
      <c r="J161" t="s">
        <v>17</v>
      </c>
      <c r="K161" s="3">
        <v>36467</v>
      </c>
      <c r="L161" s="3">
        <v>44881</v>
      </c>
      <c r="M161" s="2">
        <f t="shared" si="11"/>
        <v>23.052054794520547</v>
      </c>
      <c r="N161">
        <f t="shared" si="12"/>
        <v>-47.579441095890409</v>
      </c>
      <c r="O161">
        <v>410</v>
      </c>
      <c r="P161">
        <f t="shared" si="13"/>
        <v>362.42055890410961</v>
      </c>
      <c r="Q161" s="1">
        <f>((P161-O161)/O161)</f>
        <v>-0.11604741730704973</v>
      </c>
      <c r="R161" t="s">
        <v>198</v>
      </c>
    </row>
    <row r="162" spans="1:18" x14ac:dyDescent="0.25">
      <c r="A162" t="s">
        <v>59</v>
      </c>
      <c r="B162" t="s">
        <v>11</v>
      </c>
      <c r="C162" t="s">
        <v>25</v>
      </c>
      <c r="D162" t="s">
        <v>24</v>
      </c>
      <c r="E162" s="4" t="s">
        <v>38</v>
      </c>
      <c r="F162" t="s">
        <v>23</v>
      </c>
      <c r="G162">
        <v>7.3879999999999996E-4</v>
      </c>
      <c r="H162">
        <v>46</v>
      </c>
      <c r="I162" t="s">
        <v>17</v>
      </c>
      <c r="J162" t="s">
        <v>17</v>
      </c>
      <c r="K162" s="3">
        <v>36467</v>
      </c>
      <c r="L162" s="3">
        <v>44923</v>
      </c>
      <c r="M162" s="2">
        <f t="shared" si="11"/>
        <v>23.167123287671235</v>
      </c>
      <c r="N162">
        <f t="shared" si="12"/>
        <v>1.7115870684931506E-2</v>
      </c>
      <c r="O162">
        <v>5.5E-2</v>
      </c>
      <c r="P162">
        <f t="shared" si="13"/>
        <v>7.2115870684931499E-2</v>
      </c>
      <c r="Q162" s="1">
        <f>((P162-O162)/O162)</f>
        <v>0.31119764881693635</v>
      </c>
      <c r="R162" t="s">
        <v>156</v>
      </c>
    </row>
    <row r="163" spans="1:18" x14ac:dyDescent="0.25">
      <c r="A163" t="s">
        <v>59</v>
      </c>
      <c r="B163" t="s">
        <v>11</v>
      </c>
      <c r="C163" t="s">
        <v>26</v>
      </c>
      <c r="D163" t="s">
        <v>27</v>
      </c>
      <c r="E163" s="5" t="s">
        <v>38</v>
      </c>
      <c r="F163" t="s">
        <v>23</v>
      </c>
      <c r="G163">
        <v>0.51070000000000004</v>
      </c>
      <c r="H163">
        <v>34</v>
      </c>
      <c r="I163" t="s">
        <v>17</v>
      </c>
      <c r="J163" t="s">
        <v>17</v>
      </c>
      <c r="K163" s="3">
        <v>38306</v>
      </c>
      <c r="L163" s="3">
        <v>44881</v>
      </c>
      <c r="M163" s="2">
        <f t="shared" si="11"/>
        <v>18.013698630136986</v>
      </c>
      <c r="N163">
        <f t="shared" si="12"/>
        <v>9.1995958904109596</v>
      </c>
      <c r="O163">
        <v>22</v>
      </c>
      <c r="P163">
        <f t="shared" si="13"/>
        <v>31.199595890410961</v>
      </c>
      <c r="Q163" s="1">
        <f>((P163-O163)/O163)</f>
        <v>0.41816344956413459</v>
      </c>
      <c r="R163" t="s">
        <v>147</v>
      </c>
    </row>
    <row r="164" spans="1:18" x14ac:dyDescent="0.25">
      <c r="A164" t="s">
        <v>60</v>
      </c>
      <c r="B164" t="s">
        <v>11</v>
      </c>
      <c r="C164" t="s">
        <v>12</v>
      </c>
      <c r="D164" t="s">
        <v>13</v>
      </c>
      <c r="E164" s="4" t="s">
        <v>22</v>
      </c>
      <c r="F164" t="s">
        <v>23</v>
      </c>
      <c r="G164">
        <v>0.70599999999999996</v>
      </c>
      <c r="H164">
        <v>23</v>
      </c>
      <c r="I164" t="s">
        <v>16</v>
      </c>
      <c r="J164" t="s">
        <v>17</v>
      </c>
      <c r="K164" s="3">
        <v>37893</v>
      </c>
      <c r="L164" s="3">
        <v>44929</v>
      </c>
      <c r="M164" s="2">
        <f t="shared" si="11"/>
        <v>19.276712328767122</v>
      </c>
      <c r="N164">
        <f t="shared" si="12"/>
        <v>13.609358904109587</v>
      </c>
      <c r="O164">
        <v>3</v>
      </c>
      <c r="P164">
        <f t="shared" si="13"/>
        <v>16.609358904109587</v>
      </c>
      <c r="Q164" s="1">
        <f>((P164-O164)/O164)</f>
        <v>4.5364529680365289</v>
      </c>
    </row>
    <row r="165" spans="1:18" x14ac:dyDescent="0.25">
      <c r="A165" t="s">
        <v>60</v>
      </c>
      <c r="B165" t="s">
        <v>11</v>
      </c>
      <c r="C165" t="s">
        <v>296</v>
      </c>
      <c r="D165" t="s">
        <v>24</v>
      </c>
      <c r="E165" s="4" t="s">
        <v>38</v>
      </c>
      <c r="F165" t="s">
        <v>23</v>
      </c>
      <c r="G165">
        <v>7.8549999999999991E-3</v>
      </c>
      <c r="H165">
        <v>33</v>
      </c>
      <c r="I165" t="s">
        <v>31</v>
      </c>
      <c r="J165" t="s">
        <v>17</v>
      </c>
      <c r="K165" s="3">
        <v>35942</v>
      </c>
      <c r="L165" s="3">
        <v>44590</v>
      </c>
      <c r="M165" s="2">
        <f t="shared" si="11"/>
        <v>23.693150684931506</v>
      </c>
      <c r="N165">
        <f t="shared" si="12"/>
        <v>0.18610969863013696</v>
      </c>
      <c r="O165">
        <v>0.6</v>
      </c>
      <c r="P165">
        <f t="shared" si="13"/>
        <v>0.78610969863013691</v>
      </c>
      <c r="Q165" s="1">
        <f>((P165-O165)/O165)</f>
        <v>0.31018283105022826</v>
      </c>
      <c r="R165" t="s">
        <v>162</v>
      </c>
    </row>
    <row r="166" spans="1:18" x14ac:dyDescent="0.25">
      <c r="A166" t="s">
        <v>60</v>
      </c>
      <c r="B166" t="s">
        <v>11</v>
      </c>
      <c r="C166" t="s">
        <v>18</v>
      </c>
      <c r="D166" t="s">
        <v>19</v>
      </c>
      <c r="E166" t="s">
        <v>14</v>
      </c>
      <c r="F166" t="s">
        <v>15</v>
      </c>
      <c r="G166" t="s">
        <v>15</v>
      </c>
      <c r="H166">
        <v>22</v>
      </c>
      <c r="I166" t="s">
        <v>31</v>
      </c>
      <c r="J166" t="s">
        <v>17</v>
      </c>
      <c r="K166" s="3">
        <v>37192</v>
      </c>
      <c r="L166" s="3">
        <v>44894</v>
      </c>
      <c r="M166" s="2">
        <f t="shared" si="11"/>
        <v>21.101369863013698</v>
      </c>
      <c r="N166" t="e">
        <f t="shared" si="12"/>
        <v>#VALUE!</v>
      </c>
      <c r="O166" t="s">
        <v>15</v>
      </c>
      <c r="P166" t="e">
        <f t="shared" si="13"/>
        <v>#VALUE!</v>
      </c>
      <c r="Q166" s="1" t="e">
        <f>((P166-O166)/P166)</f>
        <v>#VALUE!</v>
      </c>
    </row>
    <row r="167" spans="1:18" x14ac:dyDescent="0.25">
      <c r="A167" t="s">
        <v>60</v>
      </c>
      <c r="B167" t="s">
        <v>11</v>
      </c>
      <c r="C167" t="s">
        <v>20</v>
      </c>
      <c r="D167" t="s">
        <v>21</v>
      </c>
      <c r="E167" t="s">
        <v>14</v>
      </c>
      <c r="F167" t="s">
        <v>15</v>
      </c>
      <c r="G167" s="2" t="s">
        <v>15</v>
      </c>
      <c r="H167">
        <v>30</v>
      </c>
      <c r="I167" t="s">
        <v>16</v>
      </c>
      <c r="J167" t="s">
        <v>17</v>
      </c>
      <c r="K167" s="3">
        <v>35942</v>
      </c>
      <c r="L167" s="3">
        <v>44894</v>
      </c>
      <c r="M167" s="2">
        <f t="shared" si="11"/>
        <v>24.526027397260275</v>
      </c>
      <c r="N167" t="e">
        <f t="shared" si="12"/>
        <v>#VALUE!</v>
      </c>
      <c r="O167" t="s">
        <v>15</v>
      </c>
      <c r="P167" t="e">
        <f t="shared" si="13"/>
        <v>#VALUE!</v>
      </c>
      <c r="Q167" s="1" t="e">
        <f>((P167-O167)/P167)</f>
        <v>#VALUE!</v>
      </c>
      <c r="R167" t="s">
        <v>196</v>
      </c>
    </row>
    <row r="168" spans="1:18" x14ac:dyDescent="0.25">
      <c r="A168" t="s">
        <v>60</v>
      </c>
      <c r="B168" t="s">
        <v>11</v>
      </c>
      <c r="C168" t="s">
        <v>25</v>
      </c>
      <c r="D168" t="s">
        <v>24</v>
      </c>
      <c r="E168" t="s">
        <v>14</v>
      </c>
      <c r="F168" t="s">
        <v>15</v>
      </c>
      <c r="G168" t="s">
        <v>15</v>
      </c>
      <c r="H168">
        <v>33</v>
      </c>
      <c r="I168" t="s">
        <v>16</v>
      </c>
      <c r="J168" t="s">
        <v>31</v>
      </c>
      <c r="K168" s="3">
        <v>35942</v>
      </c>
      <c r="L168" s="3">
        <v>44894</v>
      </c>
      <c r="M168" s="2">
        <f t="shared" si="11"/>
        <v>24.526027397260275</v>
      </c>
      <c r="N168" t="e">
        <f t="shared" si="12"/>
        <v>#VALUE!</v>
      </c>
      <c r="O168" t="s">
        <v>15</v>
      </c>
      <c r="P168" t="e">
        <f t="shared" si="13"/>
        <v>#VALUE!</v>
      </c>
      <c r="Q168" s="1" t="e">
        <f>((P168-O168)/P168)</f>
        <v>#VALUE!</v>
      </c>
    </row>
    <row r="169" spans="1:18" x14ac:dyDescent="0.25">
      <c r="A169" t="s">
        <v>60</v>
      </c>
      <c r="B169" t="s">
        <v>11</v>
      </c>
      <c r="C169" t="s">
        <v>26</v>
      </c>
      <c r="D169" t="s">
        <v>27</v>
      </c>
      <c r="E169" t="s">
        <v>14</v>
      </c>
      <c r="F169" t="s">
        <v>15</v>
      </c>
      <c r="G169" t="s">
        <v>15</v>
      </c>
      <c r="H169">
        <v>22</v>
      </c>
      <c r="I169" t="s">
        <v>16</v>
      </c>
      <c r="J169" t="s">
        <v>17</v>
      </c>
      <c r="K169" s="3">
        <v>37192</v>
      </c>
      <c r="L169" s="3">
        <v>44894</v>
      </c>
      <c r="M169" s="2">
        <f t="shared" si="11"/>
        <v>21.101369863013698</v>
      </c>
      <c r="N169" t="e">
        <f t="shared" si="12"/>
        <v>#VALUE!</v>
      </c>
      <c r="O169" t="s">
        <v>15</v>
      </c>
      <c r="P169" t="e">
        <f t="shared" si="13"/>
        <v>#VALUE!</v>
      </c>
      <c r="Q169" s="1" t="e">
        <f>((P169-O169)/P169)</f>
        <v>#VALUE!</v>
      </c>
    </row>
    <row r="170" spans="1:18" x14ac:dyDescent="0.25">
      <c r="A170" t="s">
        <v>301</v>
      </c>
      <c r="B170" t="s">
        <v>11</v>
      </c>
      <c r="C170" t="s">
        <v>12</v>
      </c>
      <c r="D170" t="s">
        <v>13</v>
      </c>
      <c r="E170" s="5" t="s">
        <v>14</v>
      </c>
      <c r="F170" t="s">
        <v>15</v>
      </c>
      <c r="G170" t="s">
        <v>15</v>
      </c>
      <c r="H170">
        <v>39</v>
      </c>
      <c r="I170" t="s">
        <v>31</v>
      </c>
      <c r="J170" t="s">
        <v>17</v>
      </c>
      <c r="K170" s="3">
        <v>37481</v>
      </c>
      <c r="L170" s="3">
        <v>44872</v>
      </c>
      <c r="M170" s="2">
        <f t="shared" si="11"/>
        <v>20.24931506849315</v>
      </c>
      <c r="N170" t="e">
        <f t="shared" si="12"/>
        <v>#VALUE!</v>
      </c>
      <c r="O170" t="s">
        <v>15</v>
      </c>
      <c r="P170" t="e">
        <f t="shared" si="13"/>
        <v>#VALUE!</v>
      </c>
      <c r="Q170" s="1" t="e">
        <f>((P170-O170)/P170)</f>
        <v>#VALUE!</v>
      </c>
      <c r="R170" t="s">
        <v>133</v>
      </c>
    </row>
    <row r="171" spans="1:18" x14ac:dyDescent="0.25">
      <c r="A171" t="s">
        <v>301</v>
      </c>
      <c r="B171" t="s">
        <v>11</v>
      </c>
      <c r="C171" t="s">
        <v>296</v>
      </c>
      <c r="D171" t="s">
        <v>24</v>
      </c>
      <c r="E171" s="4" t="s">
        <v>22</v>
      </c>
      <c r="F171" t="s">
        <v>23</v>
      </c>
      <c r="G171">
        <v>1.0619999999999999E-2</v>
      </c>
      <c r="H171">
        <v>48</v>
      </c>
      <c r="I171" t="s">
        <v>16</v>
      </c>
      <c r="J171" t="s">
        <v>17</v>
      </c>
      <c r="K171" s="3">
        <v>35906</v>
      </c>
      <c r="L171" s="3">
        <v>44872</v>
      </c>
      <c r="M171" s="2">
        <f t="shared" si="11"/>
        <v>24.564383561643837</v>
      </c>
      <c r="N171">
        <f t="shared" si="12"/>
        <v>0.26087375342465752</v>
      </c>
      <c r="O171">
        <v>1.1000000000000001</v>
      </c>
      <c r="P171">
        <f t="shared" si="13"/>
        <v>1.3608737534246576</v>
      </c>
      <c r="Q171" s="1">
        <f t="shared" ref="Q171:Q176" si="15">((P171-O171)/O171)</f>
        <v>0.23715795765877948</v>
      </c>
    </row>
    <row r="172" spans="1:18" x14ac:dyDescent="0.25">
      <c r="A172" t="s">
        <v>301</v>
      </c>
      <c r="B172" t="s">
        <v>11</v>
      </c>
      <c r="C172" t="s">
        <v>18</v>
      </c>
      <c r="D172" t="s">
        <v>19</v>
      </c>
      <c r="E172" s="5" t="s">
        <v>38</v>
      </c>
      <c r="F172" t="s">
        <v>23</v>
      </c>
      <c r="G172">
        <v>0.96079999999999999</v>
      </c>
      <c r="H172">
        <v>36</v>
      </c>
      <c r="I172" t="s">
        <v>17</v>
      </c>
      <c r="J172" t="s">
        <v>17</v>
      </c>
      <c r="K172" s="3">
        <v>37208</v>
      </c>
      <c r="L172" s="3">
        <v>44910</v>
      </c>
      <c r="M172" s="2">
        <f t="shared" si="11"/>
        <v>21.101369863013698</v>
      </c>
      <c r="N172">
        <f t="shared" si="12"/>
        <v>20.274196164383561</v>
      </c>
      <c r="O172">
        <v>55</v>
      </c>
      <c r="P172">
        <f t="shared" si="13"/>
        <v>75.274196164383568</v>
      </c>
      <c r="Q172" s="1">
        <f t="shared" si="15"/>
        <v>0.36862174844333762</v>
      </c>
      <c r="R172" t="s">
        <v>144</v>
      </c>
    </row>
    <row r="173" spans="1:18" x14ac:dyDescent="0.25">
      <c r="A173" t="s">
        <v>301</v>
      </c>
      <c r="B173" t="s">
        <v>11</v>
      </c>
      <c r="C173" t="s">
        <v>20</v>
      </c>
      <c r="D173" t="s">
        <v>21</v>
      </c>
      <c r="E173" t="s">
        <v>22</v>
      </c>
      <c r="F173" t="s">
        <v>23</v>
      </c>
      <c r="G173" s="2">
        <v>5.7610000000000001</v>
      </c>
      <c r="H173">
        <v>46</v>
      </c>
      <c r="I173" t="s">
        <v>16</v>
      </c>
      <c r="J173" t="s">
        <v>17</v>
      </c>
      <c r="K173" s="3">
        <v>35906</v>
      </c>
      <c r="L173" s="3">
        <v>44872</v>
      </c>
      <c r="M173" s="2">
        <f t="shared" si="11"/>
        <v>24.564383561643837</v>
      </c>
      <c r="N173">
        <f t="shared" si="12"/>
        <v>141.51541369863014</v>
      </c>
      <c r="O173">
        <v>430</v>
      </c>
      <c r="P173">
        <f t="shared" si="13"/>
        <v>571.51541369863014</v>
      </c>
      <c r="Q173" s="1">
        <f t="shared" si="15"/>
        <v>0.32910561325262822</v>
      </c>
      <c r="R173" t="s">
        <v>142</v>
      </c>
    </row>
    <row r="174" spans="1:18" x14ac:dyDescent="0.25">
      <c r="A174" t="s">
        <v>301</v>
      </c>
      <c r="B174" t="s">
        <v>11</v>
      </c>
      <c r="C174" t="s">
        <v>25</v>
      </c>
      <c r="D174" t="s">
        <v>24</v>
      </c>
      <c r="E174" s="4" t="s">
        <v>22</v>
      </c>
      <c r="F174" t="s">
        <v>23</v>
      </c>
      <c r="G174">
        <v>1.7060000000000001E-3</v>
      </c>
      <c r="H174">
        <v>48</v>
      </c>
      <c r="I174" t="s">
        <v>17</v>
      </c>
      <c r="J174" t="s">
        <v>17</v>
      </c>
      <c r="K174" s="3">
        <v>35906</v>
      </c>
      <c r="L174" s="3">
        <v>44872</v>
      </c>
      <c r="M174" s="2">
        <f t="shared" si="11"/>
        <v>24.564383561643837</v>
      </c>
      <c r="N174">
        <f t="shared" si="12"/>
        <v>4.1906838356164385E-2</v>
      </c>
      <c r="O174">
        <v>6.5000000000000002E-2</v>
      </c>
      <c r="P174">
        <f t="shared" si="13"/>
        <v>0.10690683835616438</v>
      </c>
      <c r="Q174" s="1">
        <f t="shared" si="15"/>
        <v>0.64472059009483651</v>
      </c>
    </row>
    <row r="175" spans="1:18" x14ac:dyDescent="0.25">
      <c r="A175" t="s">
        <v>301</v>
      </c>
      <c r="B175" t="s">
        <v>11</v>
      </c>
      <c r="C175" t="s">
        <v>26</v>
      </c>
      <c r="D175" t="s">
        <v>27</v>
      </c>
      <c r="E175" s="4" t="s">
        <v>32</v>
      </c>
      <c r="F175" t="s">
        <v>29</v>
      </c>
      <c r="G175">
        <v>-0.2883</v>
      </c>
      <c r="H175">
        <v>38</v>
      </c>
      <c r="I175" t="s">
        <v>17</v>
      </c>
      <c r="J175" t="s">
        <v>17</v>
      </c>
      <c r="K175" s="3">
        <v>37208</v>
      </c>
      <c r="L175" s="3">
        <v>44872</v>
      </c>
      <c r="M175" s="2">
        <f t="shared" si="11"/>
        <v>20.997260273972604</v>
      </c>
      <c r="N175">
        <f t="shared" si="12"/>
        <v>-6.0535101369863016</v>
      </c>
      <c r="O175">
        <v>15</v>
      </c>
      <c r="P175">
        <f t="shared" si="13"/>
        <v>8.9464898630136993</v>
      </c>
      <c r="Q175" s="1">
        <f t="shared" si="15"/>
        <v>-0.40356734246575338</v>
      </c>
    </row>
    <row r="176" spans="1:18" x14ac:dyDescent="0.25">
      <c r="A176" t="s">
        <v>302</v>
      </c>
      <c r="B176" t="s">
        <v>11</v>
      </c>
      <c r="C176" t="s">
        <v>12</v>
      </c>
      <c r="D176" t="s">
        <v>13</v>
      </c>
      <c r="E176" s="5" t="s">
        <v>40</v>
      </c>
      <c r="F176" t="s">
        <v>23</v>
      </c>
      <c r="G176">
        <v>0.49759999999999999</v>
      </c>
      <c r="H176">
        <v>22</v>
      </c>
      <c r="I176" t="s">
        <v>16</v>
      </c>
      <c r="J176" t="s">
        <v>17</v>
      </c>
      <c r="K176" s="3">
        <v>37944</v>
      </c>
      <c r="L176" s="3">
        <v>44089</v>
      </c>
      <c r="M176" s="2">
        <f t="shared" si="11"/>
        <v>16.835616438356166</v>
      </c>
      <c r="N176">
        <f t="shared" si="12"/>
        <v>8.377402739726028</v>
      </c>
      <c r="O176">
        <v>17</v>
      </c>
      <c r="P176">
        <f t="shared" si="13"/>
        <v>25.37740273972603</v>
      </c>
      <c r="Q176" s="1">
        <f t="shared" si="15"/>
        <v>0.49278839645447237</v>
      </c>
      <c r="R176" t="s">
        <v>139</v>
      </c>
    </row>
    <row r="177" spans="1:18" x14ac:dyDescent="0.25">
      <c r="A177" t="s">
        <v>302</v>
      </c>
      <c r="B177" t="s">
        <v>11</v>
      </c>
      <c r="C177" t="s">
        <v>296</v>
      </c>
      <c r="D177" t="s">
        <v>24</v>
      </c>
      <c r="E177" t="s">
        <v>14</v>
      </c>
      <c r="F177" t="s">
        <v>15</v>
      </c>
      <c r="G177" t="s">
        <v>15</v>
      </c>
      <c r="H177">
        <v>34</v>
      </c>
      <c r="I177" t="s">
        <v>16</v>
      </c>
      <c r="J177" t="s">
        <v>17</v>
      </c>
      <c r="K177" s="3">
        <v>35969</v>
      </c>
      <c r="L177" s="3">
        <v>44089</v>
      </c>
      <c r="M177" s="2">
        <f t="shared" si="11"/>
        <v>22.246575342465754</v>
      </c>
      <c r="N177" t="e">
        <f t="shared" si="12"/>
        <v>#VALUE!</v>
      </c>
      <c r="O177" t="s">
        <v>15</v>
      </c>
      <c r="P177" t="e">
        <f t="shared" si="13"/>
        <v>#VALUE!</v>
      </c>
      <c r="Q177" s="1" t="e">
        <f>((P177-O177)/P177)</f>
        <v>#VALUE!</v>
      </c>
    </row>
    <row r="178" spans="1:18" x14ac:dyDescent="0.25">
      <c r="A178" t="s">
        <v>302</v>
      </c>
      <c r="B178" t="s">
        <v>11</v>
      </c>
      <c r="C178" t="s">
        <v>18</v>
      </c>
      <c r="D178" t="s">
        <v>19</v>
      </c>
      <c r="E178" t="s">
        <v>14</v>
      </c>
      <c r="F178" t="s">
        <v>15</v>
      </c>
      <c r="G178" t="s">
        <v>15</v>
      </c>
      <c r="H178">
        <v>27</v>
      </c>
      <c r="I178" t="s">
        <v>17</v>
      </c>
      <c r="J178" t="s">
        <v>17</v>
      </c>
      <c r="K178" s="3">
        <v>36829</v>
      </c>
      <c r="L178" s="3">
        <v>44089</v>
      </c>
      <c r="M178" s="2">
        <f t="shared" si="11"/>
        <v>19.890410958904109</v>
      </c>
      <c r="N178" t="e">
        <f t="shared" si="12"/>
        <v>#VALUE!</v>
      </c>
      <c r="O178" t="s">
        <v>15</v>
      </c>
      <c r="P178" t="e">
        <f t="shared" si="13"/>
        <v>#VALUE!</v>
      </c>
      <c r="Q178" s="1" t="e">
        <f>((P178-O178)/P178)</f>
        <v>#VALUE!</v>
      </c>
    </row>
    <row r="179" spans="1:18" x14ac:dyDescent="0.25">
      <c r="A179" t="s">
        <v>302</v>
      </c>
      <c r="B179" t="s">
        <v>11</v>
      </c>
      <c r="C179" t="s">
        <v>20</v>
      </c>
      <c r="D179" t="s">
        <v>21</v>
      </c>
      <c r="E179" t="s">
        <v>14</v>
      </c>
      <c r="F179" t="s">
        <v>15</v>
      </c>
      <c r="G179" s="2" t="s">
        <v>15</v>
      </c>
      <c r="H179">
        <v>35</v>
      </c>
      <c r="I179" t="s">
        <v>16</v>
      </c>
      <c r="J179" t="s">
        <v>17</v>
      </c>
      <c r="K179" s="3">
        <v>35970</v>
      </c>
      <c r="L179" s="3">
        <v>45237</v>
      </c>
      <c r="M179" s="2">
        <f t="shared" si="11"/>
        <v>25.389041095890413</v>
      </c>
      <c r="N179" t="e">
        <f t="shared" si="12"/>
        <v>#VALUE!</v>
      </c>
      <c r="O179" t="s">
        <v>15</v>
      </c>
      <c r="P179" t="e">
        <f t="shared" si="13"/>
        <v>#VALUE!</v>
      </c>
      <c r="Q179" s="1" t="e">
        <f>((P179-O179)/P179)</f>
        <v>#VALUE!</v>
      </c>
      <c r="R179" t="s">
        <v>195</v>
      </c>
    </row>
    <row r="180" spans="1:18" x14ac:dyDescent="0.25">
      <c r="A180" t="s">
        <v>302</v>
      </c>
      <c r="B180" t="s">
        <v>11</v>
      </c>
      <c r="C180" t="s">
        <v>25</v>
      </c>
      <c r="D180" t="s">
        <v>24</v>
      </c>
      <c r="E180" s="4" t="s">
        <v>40</v>
      </c>
      <c r="F180" t="s">
        <v>23</v>
      </c>
      <c r="G180">
        <v>1.1180000000000001E-3</v>
      </c>
      <c r="H180">
        <v>28</v>
      </c>
      <c r="I180" t="s">
        <v>17</v>
      </c>
      <c r="J180" t="s">
        <v>17</v>
      </c>
      <c r="K180" s="3">
        <v>35969</v>
      </c>
      <c r="L180" s="3">
        <v>44089</v>
      </c>
      <c r="M180" s="2">
        <f t="shared" si="11"/>
        <v>22.246575342465754</v>
      </c>
      <c r="N180">
        <f t="shared" si="12"/>
        <v>2.4871671232876712E-2</v>
      </c>
      <c r="O180">
        <v>0.09</v>
      </c>
      <c r="P180">
        <f t="shared" si="13"/>
        <v>0.11487167123287671</v>
      </c>
      <c r="Q180" s="1">
        <f>((P180-O180)/O180)</f>
        <v>0.27635190258751907</v>
      </c>
      <c r="R180" t="s">
        <v>172</v>
      </c>
    </row>
    <row r="181" spans="1:18" x14ac:dyDescent="0.25">
      <c r="A181" t="s">
        <v>302</v>
      </c>
      <c r="B181" t="s">
        <v>11</v>
      </c>
      <c r="C181" t="s">
        <v>26</v>
      </c>
      <c r="D181" t="s">
        <v>27</v>
      </c>
      <c r="E181" t="s">
        <v>14</v>
      </c>
      <c r="F181" t="s">
        <v>15</v>
      </c>
      <c r="G181" t="s">
        <v>15</v>
      </c>
      <c r="H181">
        <v>28</v>
      </c>
      <c r="I181" t="s">
        <v>17</v>
      </c>
      <c r="J181" t="s">
        <v>17</v>
      </c>
      <c r="K181" s="3">
        <v>36829</v>
      </c>
      <c r="L181" s="3">
        <v>44089</v>
      </c>
      <c r="M181" s="2">
        <f t="shared" si="11"/>
        <v>19.890410958904109</v>
      </c>
      <c r="N181" t="e">
        <f t="shared" si="12"/>
        <v>#VALUE!</v>
      </c>
      <c r="O181" t="s">
        <v>15</v>
      </c>
      <c r="P181" t="e">
        <f t="shared" si="13"/>
        <v>#VALUE!</v>
      </c>
      <c r="Q181" s="1" t="e">
        <f>((P181-O181)/P181)</f>
        <v>#VALUE!</v>
      </c>
    </row>
    <row r="182" spans="1:18" x14ac:dyDescent="0.25">
      <c r="A182" s="5" t="s">
        <v>303</v>
      </c>
      <c r="B182" t="s">
        <v>11</v>
      </c>
      <c r="C182" t="s">
        <v>12</v>
      </c>
      <c r="D182" t="s">
        <v>13</v>
      </c>
      <c r="E182" s="5" t="s">
        <v>38</v>
      </c>
      <c r="F182" t="s">
        <v>23</v>
      </c>
      <c r="G182" s="6">
        <v>0.52200000000000002</v>
      </c>
      <c r="H182" s="6">
        <v>38</v>
      </c>
      <c r="I182" s="5" t="s">
        <v>16</v>
      </c>
      <c r="J182" s="5" t="s">
        <v>17</v>
      </c>
      <c r="K182" s="3">
        <v>36087</v>
      </c>
      <c r="L182" s="3">
        <v>44487</v>
      </c>
      <c r="M182" s="2">
        <f t="shared" si="11"/>
        <v>23.013698630136986</v>
      </c>
      <c r="N182">
        <f t="shared" si="12"/>
        <v>12.013150684931507</v>
      </c>
      <c r="O182">
        <v>12</v>
      </c>
      <c r="P182">
        <f t="shared" si="13"/>
        <v>24.013150684931507</v>
      </c>
      <c r="Q182" s="1">
        <f>((P182-O182)/O182)</f>
        <v>1.0010958904109588</v>
      </c>
    </row>
    <row r="183" spans="1:18" x14ac:dyDescent="0.25">
      <c r="A183" s="5" t="s">
        <v>303</v>
      </c>
      <c r="B183" t="s">
        <v>11</v>
      </c>
      <c r="C183" t="s">
        <v>296</v>
      </c>
      <c r="D183" t="s">
        <v>24</v>
      </c>
      <c r="E183" s="4" t="s">
        <v>38</v>
      </c>
      <c r="F183" t="s">
        <v>23</v>
      </c>
      <c r="G183" s="6">
        <v>1.592E-2</v>
      </c>
      <c r="H183" s="6">
        <v>39</v>
      </c>
      <c r="I183" s="5" t="s">
        <v>16</v>
      </c>
      <c r="J183" s="5" t="s">
        <v>17</v>
      </c>
      <c r="K183" s="3">
        <v>35912</v>
      </c>
      <c r="L183" s="3">
        <v>44446</v>
      </c>
      <c r="M183" s="2">
        <f t="shared" si="11"/>
        <v>23.38082191780822</v>
      </c>
      <c r="N183">
        <f t="shared" si="12"/>
        <v>0.37222268493150684</v>
      </c>
      <c r="O183">
        <v>0.85</v>
      </c>
      <c r="P183">
        <f t="shared" si="13"/>
        <v>1.2222226849315068</v>
      </c>
      <c r="Q183" s="1">
        <f>((P183-O183)/O183)</f>
        <v>0.43790904109589035</v>
      </c>
      <c r="R183" t="s">
        <v>147</v>
      </c>
    </row>
    <row r="184" spans="1:18" x14ac:dyDescent="0.25">
      <c r="A184" s="5" t="s">
        <v>303</v>
      </c>
      <c r="B184" t="s">
        <v>11</v>
      </c>
      <c r="C184" t="s">
        <v>18</v>
      </c>
      <c r="D184" t="s">
        <v>19</v>
      </c>
      <c r="E184" s="5" t="s">
        <v>14</v>
      </c>
      <c r="F184" t="s">
        <v>15</v>
      </c>
      <c r="G184" t="s">
        <v>15</v>
      </c>
      <c r="H184" s="6">
        <v>36</v>
      </c>
      <c r="I184" s="5" t="s">
        <v>17</v>
      </c>
      <c r="J184" s="5" t="s">
        <v>17</v>
      </c>
      <c r="K184" s="3">
        <v>36087</v>
      </c>
      <c r="L184" s="3">
        <v>44446</v>
      </c>
      <c r="M184" s="2">
        <f t="shared" si="11"/>
        <v>22.901369863013699</v>
      </c>
      <c r="N184" t="e">
        <f t="shared" si="12"/>
        <v>#VALUE!</v>
      </c>
      <c r="O184" t="s">
        <v>15</v>
      </c>
      <c r="P184" t="e">
        <f t="shared" si="13"/>
        <v>#VALUE!</v>
      </c>
      <c r="Q184" s="1" t="e">
        <f>((P184-O184)/P184)</f>
        <v>#VALUE!</v>
      </c>
    </row>
    <row r="185" spans="1:18" x14ac:dyDescent="0.25">
      <c r="A185" s="5" t="s">
        <v>303</v>
      </c>
      <c r="B185" t="s">
        <v>11</v>
      </c>
      <c r="C185" t="s">
        <v>20</v>
      </c>
      <c r="D185" t="s">
        <v>21</v>
      </c>
      <c r="E185" t="s">
        <v>22</v>
      </c>
      <c r="F185" t="s">
        <v>23</v>
      </c>
      <c r="G185" s="2">
        <v>27.89</v>
      </c>
      <c r="H185">
        <v>39</v>
      </c>
      <c r="I185" t="s">
        <v>17</v>
      </c>
      <c r="J185" t="s">
        <v>16</v>
      </c>
      <c r="K185" s="3">
        <v>35912</v>
      </c>
      <c r="L185" s="3">
        <v>44488</v>
      </c>
      <c r="M185" s="2">
        <f t="shared" si="11"/>
        <v>23.495890410958904</v>
      </c>
      <c r="N185">
        <f t="shared" si="12"/>
        <v>655.3003835616438</v>
      </c>
      <c r="O185">
        <v>825</v>
      </c>
      <c r="P185">
        <f t="shared" si="13"/>
        <v>1480.3003835616437</v>
      </c>
      <c r="Q185" s="1">
        <f>((P185-O185)/O185)</f>
        <v>0.79430349522623478</v>
      </c>
      <c r="R185" t="s">
        <v>142</v>
      </c>
    </row>
    <row r="186" spans="1:18" x14ac:dyDescent="0.25">
      <c r="A186" s="5" t="s">
        <v>303</v>
      </c>
      <c r="B186" t="s">
        <v>11</v>
      </c>
      <c r="C186" t="s">
        <v>25</v>
      </c>
      <c r="D186" t="s">
        <v>24</v>
      </c>
      <c r="E186" s="4" t="s">
        <v>14</v>
      </c>
      <c r="F186" t="s">
        <v>15</v>
      </c>
      <c r="G186" t="s">
        <v>15</v>
      </c>
      <c r="H186" s="6">
        <v>39</v>
      </c>
      <c r="I186" s="5" t="s">
        <v>31</v>
      </c>
      <c r="J186" s="5" t="s">
        <v>17</v>
      </c>
      <c r="K186" s="3">
        <v>35912</v>
      </c>
      <c r="L186" s="3">
        <v>44446</v>
      </c>
      <c r="M186" s="2">
        <f t="shared" si="11"/>
        <v>23.38082191780822</v>
      </c>
      <c r="N186" t="e">
        <f t="shared" si="12"/>
        <v>#VALUE!</v>
      </c>
      <c r="O186" t="s">
        <v>15</v>
      </c>
      <c r="P186" t="e">
        <f t="shared" si="13"/>
        <v>#VALUE!</v>
      </c>
      <c r="Q186" s="1" t="e">
        <f>((P186-O186)/P186)</f>
        <v>#VALUE!</v>
      </c>
    </row>
    <row r="187" spans="1:18" x14ac:dyDescent="0.25">
      <c r="A187" s="5" t="s">
        <v>303</v>
      </c>
      <c r="B187" t="s">
        <v>11</v>
      </c>
      <c r="C187" t="s">
        <v>26</v>
      </c>
      <c r="D187" t="s">
        <v>27</v>
      </c>
      <c r="E187" s="4" t="s">
        <v>28</v>
      </c>
      <c r="F187" t="s">
        <v>29</v>
      </c>
      <c r="G187">
        <v>-0.93279999999999996</v>
      </c>
      <c r="H187" s="6">
        <v>37</v>
      </c>
      <c r="I187" s="5" t="s">
        <v>17</v>
      </c>
      <c r="J187" s="5" t="s">
        <v>17</v>
      </c>
      <c r="K187" s="3">
        <v>36087</v>
      </c>
      <c r="L187" s="3">
        <v>44446</v>
      </c>
      <c r="M187" s="2">
        <f t="shared" si="11"/>
        <v>22.901369863013699</v>
      </c>
      <c r="N187">
        <f t="shared" si="12"/>
        <v>-21.362397808219178</v>
      </c>
      <c r="O187">
        <v>75</v>
      </c>
      <c r="P187">
        <f t="shared" si="13"/>
        <v>53.637602191780822</v>
      </c>
      <c r="Q187" s="1">
        <f t="shared" ref="Q187:Q193" si="16">((P187-O187)/O187)</f>
        <v>-0.28483197077625572</v>
      </c>
      <c r="R187" t="s">
        <v>189</v>
      </c>
    </row>
    <row r="188" spans="1:18" x14ac:dyDescent="0.25">
      <c r="A188" t="s">
        <v>63</v>
      </c>
      <c r="B188" t="s">
        <v>11</v>
      </c>
      <c r="C188" t="s">
        <v>12</v>
      </c>
      <c r="D188" t="s">
        <v>13</v>
      </c>
      <c r="E188" s="4" t="s">
        <v>32</v>
      </c>
      <c r="F188" t="s">
        <v>29</v>
      </c>
      <c r="G188">
        <v>-0.32579999999999998</v>
      </c>
      <c r="H188">
        <v>36</v>
      </c>
      <c r="I188" t="s">
        <v>16</v>
      </c>
      <c r="J188" t="s">
        <v>17</v>
      </c>
      <c r="K188" s="3">
        <v>37733</v>
      </c>
      <c r="L188" s="3">
        <v>44907</v>
      </c>
      <c r="M188" s="2">
        <f t="shared" si="11"/>
        <v>19.654794520547945</v>
      </c>
      <c r="N188">
        <f t="shared" si="12"/>
        <v>-6.4035320547945203</v>
      </c>
      <c r="O188">
        <v>10</v>
      </c>
      <c r="P188">
        <f t="shared" si="13"/>
        <v>3.5964679452054797</v>
      </c>
      <c r="Q188" s="1">
        <f t="shared" si="16"/>
        <v>-0.64035320547945207</v>
      </c>
    </row>
    <row r="189" spans="1:18" x14ac:dyDescent="0.25">
      <c r="A189" t="s">
        <v>63</v>
      </c>
      <c r="B189" t="s">
        <v>11</v>
      </c>
      <c r="C189" t="s">
        <v>296</v>
      </c>
      <c r="D189" t="s">
        <v>24</v>
      </c>
      <c r="E189" s="4" t="s">
        <v>22</v>
      </c>
      <c r="F189" t="s">
        <v>23</v>
      </c>
      <c r="G189">
        <v>4.8770000000000003E-3</v>
      </c>
      <c r="H189">
        <v>47</v>
      </c>
      <c r="I189" t="s">
        <v>17</v>
      </c>
      <c r="J189" t="s">
        <v>17</v>
      </c>
      <c r="K189" s="3">
        <v>36458</v>
      </c>
      <c r="L189" s="3">
        <v>44872</v>
      </c>
      <c r="M189" s="2">
        <f t="shared" si="11"/>
        <v>23.052054794520547</v>
      </c>
      <c r="N189">
        <f t="shared" si="12"/>
        <v>0.11242487123287671</v>
      </c>
      <c r="O189">
        <v>0.55000000000000004</v>
      </c>
      <c r="P189">
        <f t="shared" si="13"/>
        <v>0.66242487123287674</v>
      </c>
      <c r="Q189" s="1">
        <f t="shared" si="16"/>
        <v>0.20440885678704854</v>
      </c>
    </row>
    <row r="190" spans="1:18" x14ac:dyDescent="0.25">
      <c r="A190" t="s">
        <v>63</v>
      </c>
      <c r="B190" t="s">
        <v>11</v>
      </c>
      <c r="C190" t="s">
        <v>18</v>
      </c>
      <c r="D190" t="s">
        <v>19</v>
      </c>
      <c r="E190" s="4" t="s">
        <v>22</v>
      </c>
      <c r="F190" t="s">
        <v>23</v>
      </c>
      <c r="G190">
        <v>4.4669999999999996</v>
      </c>
      <c r="H190">
        <v>27</v>
      </c>
      <c r="I190" t="s">
        <v>17</v>
      </c>
      <c r="J190" t="s">
        <v>17</v>
      </c>
      <c r="K190" s="3">
        <v>38243</v>
      </c>
      <c r="L190" s="3">
        <v>44872</v>
      </c>
      <c r="M190" s="2">
        <f t="shared" si="11"/>
        <v>18.161643835616438</v>
      </c>
      <c r="N190">
        <f t="shared" si="12"/>
        <v>81.128063013698622</v>
      </c>
      <c r="O190">
        <v>60</v>
      </c>
      <c r="P190">
        <f t="shared" si="13"/>
        <v>141.12806301369864</v>
      </c>
      <c r="Q190" s="1">
        <f t="shared" si="16"/>
        <v>1.3521343835616439</v>
      </c>
      <c r="R190" t="s">
        <v>144</v>
      </c>
    </row>
    <row r="191" spans="1:18" x14ac:dyDescent="0.25">
      <c r="A191" t="s">
        <v>63</v>
      </c>
      <c r="B191" t="s">
        <v>11</v>
      </c>
      <c r="C191" t="s">
        <v>20</v>
      </c>
      <c r="D191" t="s">
        <v>21</v>
      </c>
      <c r="E191" t="s">
        <v>22</v>
      </c>
      <c r="F191" t="s">
        <v>23</v>
      </c>
      <c r="G191" s="2">
        <v>16.14</v>
      </c>
      <c r="H191">
        <v>35</v>
      </c>
      <c r="I191" t="s">
        <v>16</v>
      </c>
      <c r="J191" t="s">
        <v>31</v>
      </c>
      <c r="K191" s="3">
        <v>36458</v>
      </c>
      <c r="L191" s="3">
        <v>44872</v>
      </c>
      <c r="M191" s="2">
        <f t="shared" si="11"/>
        <v>23.052054794520547</v>
      </c>
      <c r="N191">
        <f t="shared" si="12"/>
        <v>372.06016438356164</v>
      </c>
      <c r="O191">
        <v>2150</v>
      </c>
      <c r="P191">
        <f t="shared" si="13"/>
        <v>2522.0601643835616</v>
      </c>
      <c r="Q191" s="1">
        <f t="shared" si="16"/>
        <v>0.1730512392481682</v>
      </c>
    </row>
    <row r="192" spans="1:18" x14ac:dyDescent="0.25">
      <c r="A192" t="s">
        <v>63</v>
      </c>
      <c r="B192" t="s">
        <v>11</v>
      </c>
      <c r="C192" t="s">
        <v>25</v>
      </c>
      <c r="D192" t="s">
        <v>24</v>
      </c>
      <c r="E192" s="4" t="s">
        <v>32</v>
      </c>
      <c r="F192" t="s">
        <v>29</v>
      </c>
      <c r="G192">
        <v>-4.082E-4</v>
      </c>
      <c r="H192">
        <v>47</v>
      </c>
      <c r="I192" t="s">
        <v>17</v>
      </c>
      <c r="J192" t="s">
        <v>17</v>
      </c>
      <c r="K192" s="3">
        <v>36458</v>
      </c>
      <c r="L192" s="3">
        <v>44872</v>
      </c>
      <c r="M192" s="2">
        <f t="shared" si="11"/>
        <v>23.052054794520547</v>
      </c>
      <c r="N192">
        <f t="shared" si="12"/>
        <v>-9.4098487671232869E-3</v>
      </c>
      <c r="O192">
        <v>2.5000000000000001E-2</v>
      </c>
      <c r="P192">
        <f t="shared" si="13"/>
        <v>1.5590151232876714E-2</v>
      </c>
      <c r="Q192" s="1">
        <f t="shared" si="16"/>
        <v>-0.37639395068493148</v>
      </c>
    </row>
    <row r="193" spans="1:18" x14ac:dyDescent="0.25">
      <c r="A193" t="s">
        <v>63</v>
      </c>
      <c r="B193" t="s">
        <v>11</v>
      </c>
      <c r="C193" t="s">
        <v>26</v>
      </c>
      <c r="D193" t="s">
        <v>27</v>
      </c>
      <c r="E193" s="4" t="s">
        <v>32</v>
      </c>
      <c r="F193" t="s">
        <v>29</v>
      </c>
      <c r="G193">
        <v>-0.4617</v>
      </c>
      <c r="H193">
        <v>31</v>
      </c>
      <c r="I193" t="s">
        <v>17</v>
      </c>
      <c r="J193" t="s">
        <v>17</v>
      </c>
      <c r="K193" s="3">
        <v>38243</v>
      </c>
      <c r="L193" s="3">
        <v>44872</v>
      </c>
      <c r="M193" s="2">
        <f t="shared" si="11"/>
        <v>18.161643835616438</v>
      </c>
      <c r="N193">
        <f t="shared" si="12"/>
        <v>-8.3852309589041099</v>
      </c>
      <c r="O193">
        <v>11</v>
      </c>
      <c r="P193">
        <f t="shared" si="13"/>
        <v>2.6147690410958901</v>
      </c>
      <c r="Q193" s="1">
        <f t="shared" si="16"/>
        <v>-0.7622937235367373</v>
      </c>
      <c r="R193" t="s">
        <v>147</v>
      </c>
    </row>
    <row r="194" spans="1:18" x14ac:dyDescent="0.25">
      <c r="A194" t="s">
        <v>64</v>
      </c>
      <c r="B194" t="s">
        <v>11</v>
      </c>
      <c r="C194" t="s">
        <v>12</v>
      </c>
      <c r="D194" t="s">
        <v>13</v>
      </c>
      <c r="E194" t="s">
        <v>14</v>
      </c>
      <c r="F194" t="s">
        <v>15</v>
      </c>
      <c r="G194" t="s">
        <v>15</v>
      </c>
      <c r="H194">
        <v>33</v>
      </c>
      <c r="I194" t="s">
        <v>16</v>
      </c>
      <c r="J194" t="s">
        <v>16</v>
      </c>
      <c r="K194" s="3">
        <v>37557</v>
      </c>
      <c r="L194" s="3">
        <v>43852</v>
      </c>
      <c r="M194" s="2">
        <f t="shared" si="11"/>
        <v>17.246575342465754</v>
      </c>
      <c r="N194" t="e">
        <f t="shared" si="12"/>
        <v>#VALUE!</v>
      </c>
      <c r="O194" t="s">
        <v>15</v>
      </c>
      <c r="P194" t="e">
        <f t="shared" si="13"/>
        <v>#VALUE!</v>
      </c>
      <c r="Q194" s="1" t="e">
        <f>((P194-O194)/P194)</f>
        <v>#VALUE!</v>
      </c>
    </row>
    <row r="195" spans="1:18" x14ac:dyDescent="0.25">
      <c r="A195" t="s">
        <v>64</v>
      </c>
      <c r="B195" t="s">
        <v>11</v>
      </c>
      <c r="C195" t="s">
        <v>296</v>
      </c>
      <c r="D195" t="s">
        <v>24</v>
      </c>
      <c r="E195" s="4" t="s">
        <v>22</v>
      </c>
      <c r="F195" t="s">
        <v>23</v>
      </c>
      <c r="G195">
        <v>1.3769999999999999E-2</v>
      </c>
      <c r="H195">
        <v>28</v>
      </c>
      <c r="I195" t="s">
        <v>16</v>
      </c>
      <c r="J195" t="s">
        <v>17</v>
      </c>
      <c r="K195" s="3">
        <v>36815</v>
      </c>
      <c r="L195" s="3">
        <v>43852</v>
      </c>
      <c r="M195" s="2">
        <f t="shared" si="11"/>
        <v>19.279452054794522</v>
      </c>
      <c r="N195">
        <f t="shared" si="12"/>
        <v>0.26547805479452052</v>
      </c>
      <c r="O195">
        <v>0.65</v>
      </c>
      <c r="P195">
        <f t="shared" si="13"/>
        <v>0.91547805479452049</v>
      </c>
      <c r="Q195" s="1">
        <f>((P195-O195)/O195)</f>
        <v>0.40842777660695456</v>
      </c>
      <c r="R195" t="s">
        <v>144</v>
      </c>
    </row>
    <row r="196" spans="1:18" x14ac:dyDescent="0.25">
      <c r="A196" t="s">
        <v>64</v>
      </c>
      <c r="B196" t="s">
        <v>11</v>
      </c>
      <c r="C196" t="s">
        <v>18</v>
      </c>
      <c r="D196" t="s">
        <v>19</v>
      </c>
      <c r="E196" s="5" t="s">
        <v>40</v>
      </c>
      <c r="F196" t="s">
        <v>23</v>
      </c>
      <c r="G196">
        <v>0.82989999999999997</v>
      </c>
      <c r="H196">
        <v>22</v>
      </c>
      <c r="I196" t="s">
        <v>16</v>
      </c>
      <c r="J196" t="s">
        <v>17</v>
      </c>
      <c r="K196" s="3">
        <v>36815</v>
      </c>
      <c r="L196" s="3">
        <v>43887</v>
      </c>
      <c r="M196" s="2">
        <f t="shared" si="11"/>
        <v>19.375342465753423</v>
      </c>
      <c r="N196">
        <f t="shared" si="12"/>
        <v>16.079596712328765</v>
      </c>
      <c r="O196">
        <v>6.8</v>
      </c>
      <c r="P196">
        <f t="shared" si="13"/>
        <v>22.879596712328766</v>
      </c>
      <c r="Q196" s="1">
        <f>((P196-O196)/O196)</f>
        <v>2.3646465753424657</v>
      </c>
      <c r="R196" t="s">
        <v>144</v>
      </c>
    </row>
    <row r="197" spans="1:18" x14ac:dyDescent="0.25">
      <c r="A197" t="s">
        <v>64</v>
      </c>
      <c r="B197" t="s">
        <v>11</v>
      </c>
      <c r="C197" t="s">
        <v>20</v>
      </c>
      <c r="D197" t="s">
        <v>21</v>
      </c>
      <c r="E197" t="s">
        <v>14</v>
      </c>
      <c r="F197" t="s">
        <v>15</v>
      </c>
      <c r="G197" s="2" t="s">
        <v>15</v>
      </c>
      <c r="H197">
        <v>30</v>
      </c>
      <c r="I197" t="s">
        <v>16</v>
      </c>
      <c r="J197" t="s">
        <v>17</v>
      </c>
      <c r="K197" s="3">
        <v>36815</v>
      </c>
      <c r="L197" s="3">
        <v>43922</v>
      </c>
      <c r="M197" s="2">
        <f t="shared" si="11"/>
        <v>19.471232876712328</v>
      </c>
      <c r="N197" t="e">
        <f t="shared" si="12"/>
        <v>#VALUE!</v>
      </c>
      <c r="O197" t="s">
        <v>15</v>
      </c>
      <c r="P197" t="e">
        <f t="shared" si="13"/>
        <v>#VALUE!</v>
      </c>
      <c r="Q197" s="1" t="e">
        <f>((P197-O197)/P197)</f>
        <v>#VALUE!</v>
      </c>
      <c r="R197" t="s">
        <v>195</v>
      </c>
    </row>
    <row r="198" spans="1:18" x14ac:dyDescent="0.25">
      <c r="A198" t="s">
        <v>64</v>
      </c>
      <c r="B198" t="s">
        <v>11</v>
      </c>
      <c r="C198" t="s">
        <v>25</v>
      </c>
      <c r="D198" t="s">
        <v>24</v>
      </c>
      <c r="E198" t="s">
        <v>14</v>
      </c>
      <c r="F198" t="s">
        <v>15</v>
      </c>
      <c r="G198" t="s">
        <v>15</v>
      </c>
      <c r="H198">
        <v>35</v>
      </c>
      <c r="I198" t="s">
        <v>16</v>
      </c>
      <c r="J198" t="s">
        <v>17</v>
      </c>
      <c r="K198" s="3">
        <v>36815</v>
      </c>
      <c r="L198" s="3">
        <v>43852</v>
      </c>
      <c r="M198" s="2">
        <f t="shared" si="11"/>
        <v>19.279452054794522</v>
      </c>
      <c r="N198" t="e">
        <f t="shared" si="12"/>
        <v>#VALUE!</v>
      </c>
      <c r="O198" t="s">
        <v>15</v>
      </c>
      <c r="P198" t="e">
        <f t="shared" si="13"/>
        <v>#VALUE!</v>
      </c>
      <c r="Q198" s="1" t="e">
        <f>((P198-O198)/P198)</f>
        <v>#VALUE!</v>
      </c>
    </row>
    <row r="199" spans="1:18" x14ac:dyDescent="0.25">
      <c r="A199" t="s">
        <v>64</v>
      </c>
      <c r="B199" t="s">
        <v>11</v>
      </c>
      <c r="C199" t="s">
        <v>26</v>
      </c>
      <c r="D199" t="s">
        <v>27</v>
      </c>
      <c r="E199" s="4" t="s">
        <v>34</v>
      </c>
      <c r="F199" t="s">
        <v>29</v>
      </c>
      <c r="G199">
        <v>-2.403</v>
      </c>
      <c r="H199">
        <v>25</v>
      </c>
      <c r="I199" t="s">
        <v>31</v>
      </c>
      <c r="J199" t="s">
        <v>31</v>
      </c>
      <c r="K199" s="3">
        <v>36815</v>
      </c>
      <c r="L199" s="3">
        <v>43887</v>
      </c>
      <c r="M199" s="2">
        <f t="shared" si="11"/>
        <v>19.375342465753423</v>
      </c>
      <c r="N199">
        <f t="shared" si="12"/>
        <v>-46.558947945205475</v>
      </c>
      <c r="O199">
        <v>105</v>
      </c>
      <c r="P199">
        <f t="shared" si="13"/>
        <v>58.441052054794525</v>
      </c>
      <c r="Q199" s="1">
        <f>((P199-O199)/O199)</f>
        <v>-0.44341855185909979</v>
      </c>
      <c r="R199" t="s">
        <v>144</v>
      </c>
    </row>
    <row r="200" spans="1:18" x14ac:dyDescent="0.25">
      <c r="A200" t="s">
        <v>65</v>
      </c>
      <c r="B200" t="s">
        <v>11</v>
      </c>
      <c r="C200" t="s">
        <v>12</v>
      </c>
      <c r="D200" t="s">
        <v>13</v>
      </c>
      <c r="E200" s="5" t="s">
        <v>38</v>
      </c>
      <c r="F200" t="s">
        <v>23</v>
      </c>
      <c r="G200">
        <v>0.46820000000000001</v>
      </c>
      <c r="H200">
        <v>30</v>
      </c>
      <c r="I200" t="s">
        <v>33</v>
      </c>
      <c r="J200" t="s">
        <v>17</v>
      </c>
      <c r="K200" s="3">
        <v>37580</v>
      </c>
      <c r="L200" s="3">
        <v>44500</v>
      </c>
      <c r="M200" s="2">
        <f t="shared" ref="M200:M263" si="17">(L200-K200)/365</f>
        <v>18.958904109589042</v>
      </c>
      <c r="N200">
        <f t="shared" ref="N200:N263" si="18">G200*M200</f>
        <v>8.87655890410959</v>
      </c>
      <c r="O200">
        <v>4</v>
      </c>
      <c r="P200">
        <f t="shared" ref="P200:P263" si="19">O200+N200</f>
        <v>12.87655890410959</v>
      </c>
      <c r="Q200" s="1">
        <f>((P200-O200)/O200)</f>
        <v>2.2191397260273975</v>
      </c>
      <c r="R200" t="s">
        <v>139</v>
      </c>
    </row>
    <row r="201" spans="1:18" x14ac:dyDescent="0.25">
      <c r="A201" t="s">
        <v>65</v>
      </c>
      <c r="B201" t="s">
        <v>11</v>
      </c>
      <c r="C201" t="s">
        <v>296</v>
      </c>
      <c r="D201" t="s">
        <v>24</v>
      </c>
      <c r="E201" s="4" t="s">
        <v>22</v>
      </c>
      <c r="F201" t="s">
        <v>23</v>
      </c>
      <c r="G201">
        <v>1.3690000000000001E-2</v>
      </c>
      <c r="H201">
        <v>34</v>
      </c>
      <c r="I201" t="s">
        <v>16</v>
      </c>
      <c r="J201" t="s">
        <v>17</v>
      </c>
      <c r="K201" s="3">
        <v>36836</v>
      </c>
      <c r="L201" s="3">
        <v>44466</v>
      </c>
      <c r="M201" s="2">
        <f t="shared" si="17"/>
        <v>20.904109589041095</v>
      </c>
      <c r="N201">
        <f t="shared" si="18"/>
        <v>0.28617726027397261</v>
      </c>
      <c r="O201">
        <v>0.44500000000000001</v>
      </c>
      <c r="P201">
        <f t="shared" si="19"/>
        <v>0.73117726027397256</v>
      </c>
      <c r="Q201" s="1">
        <f>((P201-O201)/O201)</f>
        <v>0.64309496690780343</v>
      </c>
      <c r="R201" t="s">
        <v>162</v>
      </c>
    </row>
    <row r="202" spans="1:18" x14ac:dyDescent="0.25">
      <c r="A202" t="s">
        <v>65</v>
      </c>
      <c r="B202" t="s">
        <v>11</v>
      </c>
      <c r="C202" t="s">
        <v>18</v>
      </c>
      <c r="D202" t="s">
        <v>19</v>
      </c>
      <c r="E202" s="5" t="s">
        <v>38</v>
      </c>
      <c r="F202" t="s">
        <v>205</v>
      </c>
      <c r="G202">
        <v>1.1160000000000001</v>
      </c>
      <c r="H202">
        <v>26</v>
      </c>
      <c r="I202" t="s">
        <v>17</v>
      </c>
      <c r="J202" t="s">
        <v>17</v>
      </c>
      <c r="K202" s="3">
        <v>36836</v>
      </c>
      <c r="L202" s="3">
        <v>44466</v>
      </c>
      <c r="M202" s="2">
        <f t="shared" si="17"/>
        <v>20.904109589041095</v>
      </c>
      <c r="N202">
        <f t="shared" si="18"/>
        <v>23.328986301369863</v>
      </c>
      <c r="O202">
        <v>50</v>
      </c>
      <c r="P202">
        <f t="shared" si="19"/>
        <v>73.328986301369866</v>
      </c>
      <c r="Q202" s="1">
        <f>((P202-O202)/O202)</f>
        <v>0.46657972602739733</v>
      </c>
    </row>
    <row r="203" spans="1:18" x14ac:dyDescent="0.25">
      <c r="A203" t="s">
        <v>65</v>
      </c>
      <c r="B203" t="s">
        <v>11</v>
      </c>
      <c r="C203" t="s">
        <v>20</v>
      </c>
      <c r="D203" t="s">
        <v>21</v>
      </c>
      <c r="E203" t="s">
        <v>14</v>
      </c>
      <c r="F203" t="s">
        <v>15</v>
      </c>
      <c r="G203" s="2" t="s">
        <v>15</v>
      </c>
      <c r="H203">
        <v>31</v>
      </c>
      <c r="I203" t="s">
        <v>16</v>
      </c>
      <c r="J203" t="s">
        <v>16</v>
      </c>
      <c r="K203" s="3">
        <v>36836</v>
      </c>
      <c r="L203" s="3">
        <v>44466</v>
      </c>
      <c r="M203" s="2">
        <f t="shared" si="17"/>
        <v>20.904109589041095</v>
      </c>
      <c r="N203" t="e">
        <f t="shared" si="18"/>
        <v>#VALUE!</v>
      </c>
      <c r="O203" t="s">
        <v>15</v>
      </c>
      <c r="P203" t="e">
        <f t="shared" si="19"/>
        <v>#VALUE!</v>
      </c>
      <c r="Q203" s="1" t="e">
        <f>((P203-O203)/P203)</f>
        <v>#VALUE!</v>
      </c>
      <c r="R203" t="s">
        <v>195</v>
      </c>
    </row>
    <row r="204" spans="1:18" x14ac:dyDescent="0.25">
      <c r="A204" t="s">
        <v>65</v>
      </c>
      <c r="B204" t="s">
        <v>11</v>
      </c>
      <c r="C204" t="s">
        <v>25</v>
      </c>
      <c r="D204" t="s">
        <v>24</v>
      </c>
      <c r="E204" t="s">
        <v>14</v>
      </c>
      <c r="F204" t="s">
        <v>15</v>
      </c>
      <c r="G204" t="s">
        <v>15</v>
      </c>
      <c r="H204">
        <v>34</v>
      </c>
      <c r="I204" t="s">
        <v>16</v>
      </c>
      <c r="J204" t="s">
        <v>17</v>
      </c>
      <c r="K204" s="3">
        <v>36836</v>
      </c>
      <c r="L204" s="3">
        <v>44466</v>
      </c>
      <c r="M204" s="2">
        <f t="shared" si="17"/>
        <v>20.904109589041095</v>
      </c>
      <c r="N204" t="e">
        <f t="shared" si="18"/>
        <v>#VALUE!</v>
      </c>
      <c r="O204" t="s">
        <v>15</v>
      </c>
      <c r="P204" t="e">
        <f t="shared" si="19"/>
        <v>#VALUE!</v>
      </c>
      <c r="Q204" s="1" t="e">
        <f>((P204-O204)/P204)</f>
        <v>#VALUE!</v>
      </c>
    </row>
    <row r="205" spans="1:18" x14ac:dyDescent="0.25">
      <c r="A205" t="s">
        <v>65</v>
      </c>
      <c r="B205" t="s">
        <v>11</v>
      </c>
      <c r="C205" t="s">
        <v>26</v>
      </c>
      <c r="D205" t="s">
        <v>27</v>
      </c>
      <c r="E205" s="5" t="s">
        <v>34</v>
      </c>
      <c r="F205" t="s">
        <v>29</v>
      </c>
      <c r="G205">
        <v>-0.42670000000000002</v>
      </c>
      <c r="H205">
        <v>31</v>
      </c>
      <c r="I205" t="s">
        <v>17</v>
      </c>
      <c r="J205" t="s">
        <v>17</v>
      </c>
      <c r="K205" s="3">
        <v>36836</v>
      </c>
      <c r="L205" s="3">
        <v>44466</v>
      </c>
      <c r="M205" s="2">
        <f t="shared" si="17"/>
        <v>20.904109589041095</v>
      </c>
      <c r="N205">
        <f t="shared" si="18"/>
        <v>-8.9197835616438361</v>
      </c>
      <c r="O205">
        <v>18</v>
      </c>
      <c r="P205">
        <f t="shared" si="19"/>
        <v>9.0802164383561639</v>
      </c>
      <c r="Q205" s="1">
        <f>((P205-O205)/O205)</f>
        <v>-0.49554353120243533</v>
      </c>
      <c r="R205" t="s">
        <v>156</v>
      </c>
    </row>
    <row r="206" spans="1:18" x14ac:dyDescent="0.25">
      <c r="A206" t="s">
        <v>66</v>
      </c>
      <c r="B206" t="s">
        <v>11</v>
      </c>
      <c r="C206" t="s">
        <v>12</v>
      </c>
      <c r="D206" t="s">
        <v>13</v>
      </c>
      <c r="E206" t="s">
        <v>28</v>
      </c>
      <c r="F206" t="s">
        <v>29</v>
      </c>
      <c r="G206">
        <v>-0.28370000000000001</v>
      </c>
      <c r="H206">
        <v>40</v>
      </c>
      <c r="K206" s="3">
        <v>36808</v>
      </c>
      <c r="L206" s="3">
        <v>44845</v>
      </c>
      <c r="M206" s="2">
        <f t="shared" si="17"/>
        <v>22.019178082191782</v>
      </c>
      <c r="N206">
        <f t="shared" si="18"/>
        <v>-6.2468408219178091</v>
      </c>
      <c r="O206">
        <v>16</v>
      </c>
      <c r="P206">
        <f t="shared" si="19"/>
        <v>9.7531591780821909</v>
      </c>
      <c r="Q206" s="1">
        <f>((P206-O206)/O206)</f>
        <v>-0.39042755136986307</v>
      </c>
      <c r="R206" t="s">
        <v>140</v>
      </c>
    </row>
    <row r="207" spans="1:18" x14ac:dyDescent="0.25">
      <c r="A207" t="s">
        <v>66</v>
      </c>
      <c r="B207" t="s">
        <v>11</v>
      </c>
      <c r="C207" t="s">
        <v>296</v>
      </c>
      <c r="D207" t="s">
        <v>24</v>
      </c>
      <c r="E207" t="s">
        <v>14</v>
      </c>
      <c r="F207" t="s">
        <v>163</v>
      </c>
      <c r="G207" t="s">
        <v>15</v>
      </c>
      <c r="H207">
        <v>49</v>
      </c>
      <c r="K207" s="3">
        <v>35968</v>
      </c>
      <c r="L207" s="3">
        <v>44845</v>
      </c>
      <c r="M207" s="2">
        <f t="shared" si="17"/>
        <v>24.32054794520548</v>
      </c>
      <c r="N207" t="e">
        <f t="shared" si="18"/>
        <v>#VALUE!</v>
      </c>
      <c r="O207" t="s">
        <v>15</v>
      </c>
      <c r="P207" t="e">
        <f t="shared" si="19"/>
        <v>#VALUE!</v>
      </c>
      <c r="Q207" s="1" t="e">
        <f t="shared" ref="Q207:Q212" si="20">((P207-O207)/P207)</f>
        <v>#VALUE!</v>
      </c>
      <c r="R207" t="s">
        <v>140</v>
      </c>
    </row>
    <row r="208" spans="1:18" x14ac:dyDescent="0.25">
      <c r="A208" t="s">
        <v>66</v>
      </c>
      <c r="B208" t="s">
        <v>11</v>
      </c>
      <c r="C208" t="s">
        <v>18</v>
      </c>
      <c r="D208" t="s">
        <v>19</v>
      </c>
      <c r="E208" s="5" t="s">
        <v>14</v>
      </c>
      <c r="F208" t="s">
        <v>15</v>
      </c>
      <c r="G208" t="s">
        <v>15</v>
      </c>
      <c r="H208">
        <v>40</v>
      </c>
      <c r="K208" s="3">
        <v>36808</v>
      </c>
      <c r="L208" s="3">
        <v>44845</v>
      </c>
      <c r="M208" s="2">
        <f t="shared" si="17"/>
        <v>22.019178082191782</v>
      </c>
      <c r="N208" t="e">
        <f t="shared" si="18"/>
        <v>#VALUE!</v>
      </c>
      <c r="O208" t="s">
        <v>15</v>
      </c>
      <c r="P208" t="e">
        <f t="shared" si="19"/>
        <v>#VALUE!</v>
      </c>
      <c r="Q208" s="1" t="e">
        <f t="shared" si="20"/>
        <v>#VALUE!</v>
      </c>
      <c r="R208" t="s">
        <v>140</v>
      </c>
    </row>
    <row r="209" spans="1:18" x14ac:dyDescent="0.25">
      <c r="A209" t="s">
        <v>66</v>
      </c>
      <c r="B209" t="s">
        <v>11</v>
      </c>
      <c r="C209" t="s">
        <v>20</v>
      </c>
      <c r="D209" t="s">
        <v>21</v>
      </c>
      <c r="E209" t="s">
        <v>14</v>
      </c>
      <c r="F209" t="s">
        <v>15</v>
      </c>
      <c r="G209" s="2" t="s">
        <v>15</v>
      </c>
      <c r="H209">
        <v>42</v>
      </c>
      <c r="I209" t="s">
        <v>17</v>
      </c>
      <c r="J209" t="s">
        <v>17</v>
      </c>
      <c r="K209" s="3">
        <v>35968</v>
      </c>
      <c r="L209" s="3">
        <v>44845</v>
      </c>
      <c r="M209" s="2">
        <f t="shared" si="17"/>
        <v>24.32054794520548</v>
      </c>
      <c r="N209" t="e">
        <f t="shared" si="18"/>
        <v>#VALUE!</v>
      </c>
      <c r="O209" t="s">
        <v>15</v>
      </c>
      <c r="P209" t="e">
        <f t="shared" si="19"/>
        <v>#VALUE!</v>
      </c>
      <c r="Q209" s="1" t="e">
        <f t="shared" si="20"/>
        <v>#VALUE!</v>
      </c>
    </row>
    <row r="210" spans="1:18" x14ac:dyDescent="0.25">
      <c r="A210" t="s">
        <v>66</v>
      </c>
      <c r="B210" t="s">
        <v>11</v>
      </c>
      <c r="C210" t="s">
        <v>25</v>
      </c>
      <c r="D210" t="s">
        <v>24</v>
      </c>
      <c r="E210" t="s">
        <v>14</v>
      </c>
      <c r="F210" t="s">
        <v>15</v>
      </c>
      <c r="G210" t="s">
        <v>15</v>
      </c>
      <c r="H210">
        <v>49</v>
      </c>
      <c r="K210" s="3">
        <v>35968</v>
      </c>
      <c r="L210" s="3">
        <v>44845</v>
      </c>
      <c r="M210" s="2">
        <f t="shared" si="17"/>
        <v>24.32054794520548</v>
      </c>
      <c r="N210" t="e">
        <f t="shared" si="18"/>
        <v>#VALUE!</v>
      </c>
      <c r="O210" t="s">
        <v>15</v>
      </c>
      <c r="P210" t="e">
        <f t="shared" si="19"/>
        <v>#VALUE!</v>
      </c>
      <c r="Q210" s="1" t="e">
        <f t="shared" si="20"/>
        <v>#VALUE!</v>
      </c>
      <c r="R210" t="s">
        <v>140</v>
      </c>
    </row>
    <row r="211" spans="1:18" x14ac:dyDescent="0.25">
      <c r="A211" t="s">
        <v>66</v>
      </c>
      <c r="B211" t="s">
        <v>11</v>
      </c>
      <c r="C211" t="s">
        <v>26</v>
      </c>
      <c r="D211" t="s">
        <v>27</v>
      </c>
      <c r="E211" t="s">
        <v>14</v>
      </c>
      <c r="F211" t="s">
        <v>15</v>
      </c>
      <c r="G211" t="s">
        <v>15</v>
      </c>
      <c r="H211">
        <v>40</v>
      </c>
      <c r="K211" s="3">
        <v>36808</v>
      </c>
      <c r="L211" s="3">
        <v>37540</v>
      </c>
      <c r="M211" s="2">
        <f t="shared" si="17"/>
        <v>2.0054794520547947</v>
      </c>
      <c r="N211" t="e">
        <f t="shared" si="18"/>
        <v>#VALUE!</v>
      </c>
      <c r="O211" t="s">
        <v>15</v>
      </c>
      <c r="P211" t="e">
        <f t="shared" si="19"/>
        <v>#VALUE!</v>
      </c>
      <c r="Q211" s="1" t="e">
        <f t="shared" si="20"/>
        <v>#VALUE!</v>
      </c>
      <c r="R211" t="s">
        <v>140</v>
      </c>
    </row>
    <row r="212" spans="1:18" x14ac:dyDescent="0.25">
      <c r="A212" t="s">
        <v>293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15</v>
      </c>
      <c r="H212">
        <v>19</v>
      </c>
      <c r="I212" t="s">
        <v>16</v>
      </c>
      <c r="J212" t="s">
        <v>31</v>
      </c>
      <c r="K212" s="3">
        <v>37487</v>
      </c>
      <c r="L212" s="3">
        <v>43661</v>
      </c>
      <c r="M212" s="2">
        <f t="shared" si="17"/>
        <v>16.915068493150685</v>
      </c>
      <c r="N212" t="e">
        <f t="shared" si="18"/>
        <v>#VALUE!</v>
      </c>
      <c r="O212" t="s">
        <v>15</v>
      </c>
      <c r="P212" t="e">
        <f t="shared" si="19"/>
        <v>#VALUE!</v>
      </c>
      <c r="Q212" s="1" t="e">
        <f t="shared" si="20"/>
        <v>#VALUE!</v>
      </c>
    </row>
    <row r="213" spans="1:18" x14ac:dyDescent="0.25">
      <c r="A213" t="s">
        <v>293</v>
      </c>
      <c r="B213" t="s">
        <v>11</v>
      </c>
      <c r="C213" t="s">
        <v>296</v>
      </c>
      <c r="D213" t="s">
        <v>24</v>
      </c>
      <c r="E213" s="4" t="s">
        <v>38</v>
      </c>
      <c r="F213" t="s">
        <v>23</v>
      </c>
      <c r="G213">
        <v>2.8000000000000001E-2</v>
      </c>
      <c r="H213">
        <v>26</v>
      </c>
      <c r="I213" t="s">
        <v>16</v>
      </c>
      <c r="J213" t="s">
        <v>17</v>
      </c>
      <c r="K213" s="3">
        <v>35912</v>
      </c>
      <c r="L213" s="3">
        <v>43661</v>
      </c>
      <c r="M213" s="2">
        <f t="shared" si="17"/>
        <v>21.230136986301371</v>
      </c>
      <c r="N213">
        <f t="shared" si="18"/>
        <v>0.59444383561643843</v>
      </c>
      <c r="O213">
        <v>1.4</v>
      </c>
      <c r="P213">
        <f t="shared" si="19"/>
        <v>1.9944438356164382</v>
      </c>
      <c r="Q213" s="1">
        <f>((P213-O213)/O213)</f>
        <v>0.42460273972602741</v>
      </c>
      <c r="R213" t="s">
        <v>162</v>
      </c>
    </row>
    <row r="214" spans="1:18" x14ac:dyDescent="0.25">
      <c r="A214" t="s">
        <v>293</v>
      </c>
      <c r="B214" t="s">
        <v>11</v>
      </c>
      <c r="C214" t="s">
        <v>18</v>
      </c>
      <c r="D214" t="s">
        <v>19</v>
      </c>
      <c r="E214" t="s">
        <v>14</v>
      </c>
      <c r="F214" t="s">
        <v>15</v>
      </c>
      <c r="G214" t="s">
        <v>15</v>
      </c>
      <c r="H214">
        <v>18</v>
      </c>
      <c r="I214" t="s">
        <v>16</v>
      </c>
      <c r="J214" t="s">
        <v>16</v>
      </c>
      <c r="K214" s="3">
        <v>37222</v>
      </c>
      <c r="L214" s="3">
        <v>43661</v>
      </c>
      <c r="M214" s="2">
        <f t="shared" si="17"/>
        <v>17.641095890410959</v>
      </c>
      <c r="N214" t="e">
        <f t="shared" si="18"/>
        <v>#VALUE!</v>
      </c>
      <c r="O214" t="s">
        <v>15</v>
      </c>
      <c r="P214" t="e">
        <f t="shared" si="19"/>
        <v>#VALUE!</v>
      </c>
      <c r="Q214" s="1" t="e">
        <f>((P214-O214)/P214)</f>
        <v>#VALUE!</v>
      </c>
    </row>
    <row r="215" spans="1:18" x14ac:dyDescent="0.25">
      <c r="A215" t="s">
        <v>293</v>
      </c>
      <c r="B215" t="s">
        <v>11</v>
      </c>
      <c r="C215" t="s">
        <v>20</v>
      </c>
      <c r="D215" t="s">
        <v>21</v>
      </c>
      <c r="E215" t="s">
        <v>22</v>
      </c>
      <c r="F215" t="s">
        <v>23</v>
      </c>
      <c r="G215" s="2">
        <v>164.2</v>
      </c>
      <c r="H215">
        <v>33</v>
      </c>
      <c r="I215" t="s">
        <v>16</v>
      </c>
      <c r="J215" t="s">
        <v>17</v>
      </c>
      <c r="K215" s="3">
        <v>35912</v>
      </c>
      <c r="L215" s="3">
        <v>43661</v>
      </c>
      <c r="M215" s="2">
        <f t="shared" si="17"/>
        <v>21.230136986301371</v>
      </c>
      <c r="N215">
        <f t="shared" si="18"/>
        <v>3485.9884931506849</v>
      </c>
      <c r="O215">
        <v>2050</v>
      </c>
      <c r="P215">
        <f t="shared" si="19"/>
        <v>5535.9884931506849</v>
      </c>
      <c r="Q215" s="1">
        <f>((P215-O215)/O215)</f>
        <v>1.7004821917808219</v>
      </c>
      <c r="R215" t="s">
        <v>142</v>
      </c>
    </row>
    <row r="216" spans="1:18" x14ac:dyDescent="0.25">
      <c r="A216" t="s">
        <v>293</v>
      </c>
      <c r="B216" t="s">
        <v>11</v>
      </c>
      <c r="C216" t="s">
        <v>25</v>
      </c>
      <c r="D216" t="s">
        <v>24</v>
      </c>
      <c r="E216" t="s">
        <v>14</v>
      </c>
      <c r="F216" t="s">
        <v>15</v>
      </c>
      <c r="G216" t="s">
        <v>15</v>
      </c>
      <c r="H216">
        <v>26</v>
      </c>
      <c r="I216" t="s">
        <v>16</v>
      </c>
      <c r="J216" t="s">
        <v>31</v>
      </c>
      <c r="K216" s="3">
        <v>35912</v>
      </c>
      <c r="L216" s="3">
        <v>43661</v>
      </c>
      <c r="M216" s="2">
        <f t="shared" si="17"/>
        <v>21.230136986301371</v>
      </c>
      <c r="N216" t="e">
        <f t="shared" si="18"/>
        <v>#VALUE!</v>
      </c>
      <c r="O216" t="s">
        <v>15</v>
      </c>
      <c r="P216" t="e">
        <f t="shared" si="19"/>
        <v>#VALUE!</v>
      </c>
      <c r="Q216" s="1" t="e">
        <f>((P216-O216)/P216)</f>
        <v>#VALUE!</v>
      </c>
    </row>
    <row r="217" spans="1:18" x14ac:dyDescent="0.25">
      <c r="A217" t="s">
        <v>293</v>
      </c>
      <c r="B217" t="s">
        <v>11</v>
      </c>
      <c r="C217" t="s">
        <v>26</v>
      </c>
      <c r="D217" t="s">
        <v>27</v>
      </c>
      <c r="E217" t="s">
        <v>14</v>
      </c>
      <c r="F217" t="s">
        <v>15</v>
      </c>
      <c r="G217" t="s">
        <v>15</v>
      </c>
      <c r="H217">
        <v>18</v>
      </c>
      <c r="I217" t="s">
        <v>16</v>
      </c>
      <c r="J217" t="s">
        <v>16</v>
      </c>
      <c r="K217" s="3">
        <v>37222</v>
      </c>
      <c r="L217" s="3">
        <v>43661</v>
      </c>
      <c r="M217" s="2">
        <f t="shared" si="17"/>
        <v>17.641095890410959</v>
      </c>
      <c r="N217" t="e">
        <f t="shared" si="18"/>
        <v>#VALUE!</v>
      </c>
      <c r="O217" t="s">
        <v>15</v>
      </c>
      <c r="P217" t="e">
        <f t="shared" si="19"/>
        <v>#VALUE!</v>
      </c>
      <c r="Q217" s="1" t="e">
        <f>((P217-O217)/P217)</f>
        <v>#VALUE!</v>
      </c>
    </row>
    <row r="218" spans="1:18" x14ac:dyDescent="0.25">
      <c r="A218" t="s">
        <v>68</v>
      </c>
      <c r="B218" t="s">
        <v>11</v>
      </c>
      <c r="C218" t="s">
        <v>12</v>
      </c>
      <c r="D218" t="s">
        <v>13</v>
      </c>
      <c r="E218" t="s">
        <v>14</v>
      </c>
      <c r="F218" t="s">
        <v>23</v>
      </c>
      <c r="G218" t="s">
        <v>15</v>
      </c>
      <c r="H218">
        <v>27</v>
      </c>
      <c r="I218" t="s">
        <v>16</v>
      </c>
      <c r="J218" t="s">
        <v>31</v>
      </c>
      <c r="K218" s="3">
        <v>37901</v>
      </c>
      <c r="L218" s="3">
        <v>44881</v>
      </c>
      <c r="M218" s="2">
        <f t="shared" si="17"/>
        <v>19.123287671232877</v>
      </c>
      <c r="N218" t="e">
        <f t="shared" si="18"/>
        <v>#VALUE!</v>
      </c>
      <c r="O218" t="s">
        <v>15</v>
      </c>
      <c r="P218" t="e">
        <f t="shared" si="19"/>
        <v>#VALUE!</v>
      </c>
      <c r="Q218" s="1" t="e">
        <f>((P218-O218)/P218)</f>
        <v>#VALUE!</v>
      </c>
      <c r="R218" t="s">
        <v>133</v>
      </c>
    </row>
    <row r="219" spans="1:18" x14ac:dyDescent="0.25">
      <c r="A219" t="s">
        <v>68</v>
      </c>
      <c r="B219" t="s">
        <v>11</v>
      </c>
      <c r="C219" t="s">
        <v>296</v>
      </c>
      <c r="D219" t="s">
        <v>24</v>
      </c>
      <c r="E219" t="s">
        <v>14</v>
      </c>
      <c r="F219" t="s">
        <v>15</v>
      </c>
      <c r="G219" t="s">
        <v>15</v>
      </c>
      <c r="H219">
        <v>32</v>
      </c>
      <c r="I219" t="s">
        <v>16</v>
      </c>
      <c r="J219" t="s">
        <v>31</v>
      </c>
      <c r="K219" s="3">
        <v>36830</v>
      </c>
      <c r="L219" s="3">
        <v>44881</v>
      </c>
      <c r="M219" s="2">
        <f t="shared" si="17"/>
        <v>22.057534246575344</v>
      </c>
      <c r="N219" t="e">
        <f t="shared" si="18"/>
        <v>#VALUE!</v>
      </c>
      <c r="O219" t="s">
        <v>15</v>
      </c>
      <c r="P219" t="e">
        <f t="shared" si="19"/>
        <v>#VALUE!</v>
      </c>
      <c r="Q219" s="1" t="e">
        <f>((P219-O219)/P219)</f>
        <v>#VALUE!</v>
      </c>
    </row>
    <row r="220" spans="1:18" x14ac:dyDescent="0.25">
      <c r="A220" t="s">
        <v>68</v>
      </c>
      <c r="B220" t="s">
        <v>11</v>
      </c>
      <c r="C220" t="s">
        <v>18</v>
      </c>
      <c r="D220" t="s">
        <v>19</v>
      </c>
      <c r="E220" t="s">
        <v>14</v>
      </c>
      <c r="F220" t="s">
        <v>15</v>
      </c>
      <c r="G220" t="s">
        <v>15</v>
      </c>
      <c r="H220">
        <v>26</v>
      </c>
      <c r="I220" t="s">
        <v>31</v>
      </c>
      <c r="J220" t="s">
        <v>16</v>
      </c>
      <c r="K220" s="3">
        <v>36830</v>
      </c>
      <c r="L220" s="3">
        <v>44881</v>
      </c>
      <c r="M220" s="2">
        <f t="shared" si="17"/>
        <v>22.057534246575344</v>
      </c>
      <c r="N220" t="e">
        <f t="shared" si="18"/>
        <v>#VALUE!</v>
      </c>
      <c r="O220" t="s">
        <v>15</v>
      </c>
      <c r="P220" t="e">
        <f t="shared" si="19"/>
        <v>#VALUE!</v>
      </c>
      <c r="Q220" s="1" t="e">
        <f>((P220-O220)/P220)</f>
        <v>#VALUE!</v>
      </c>
    </row>
    <row r="221" spans="1:18" x14ac:dyDescent="0.25">
      <c r="A221" t="s">
        <v>68</v>
      </c>
      <c r="B221" t="s">
        <v>11</v>
      </c>
      <c r="C221" t="s">
        <v>20</v>
      </c>
      <c r="D221" t="s">
        <v>21</v>
      </c>
      <c r="E221" t="s">
        <v>22</v>
      </c>
      <c r="F221" t="s">
        <v>23</v>
      </c>
      <c r="G221" s="2">
        <v>2.9489999999999998</v>
      </c>
      <c r="H221">
        <v>32</v>
      </c>
      <c r="I221">
        <v>30</v>
      </c>
      <c r="J221" t="s">
        <v>31</v>
      </c>
      <c r="K221" s="3">
        <v>36830</v>
      </c>
      <c r="L221" s="3">
        <v>44774</v>
      </c>
      <c r="M221" s="2">
        <f t="shared" si="17"/>
        <v>21.764383561643836</v>
      </c>
      <c r="N221">
        <f t="shared" si="18"/>
        <v>64.183167123287674</v>
      </c>
      <c r="O221">
        <v>115</v>
      </c>
      <c r="P221">
        <f t="shared" si="19"/>
        <v>179.18316712328766</v>
      </c>
      <c r="Q221" s="1">
        <f>((P221-O221)/O221)</f>
        <v>0.55811449672424052</v>
      </c>
      <c r="R221" t="s">
        <v>142</v>
      </c>
    </row>
    <row r="222" spans="1:18" x14ac:dyDescent="0.25">
      <c r="A222" t="s">
        <v>68</v>
      </c>
      <c r="B222" t="s">
        <v>11</v>
      </c>
      <c r="C222" t="s">
        <v>25</v>
      </c>
      <c r="D222" t="s">
        <v>24</v>
      </c>
      <c r="E222" t="s">
        <v>14</v>
      </c>
      <c r="F222" t="s">
        <v>15</v>
      </c>
      <c r="G222" t="s">
        <v>15</v>
      </c>
      <c r="H222">
        <v>32</v>
      </c>
      <c r="I222" t="s">
        <v>16</v>
      </c>
      <c r="J222" t="s">
        <v>33</v>
      </c>
      <c r="K222" s="3">
        <v>36830</v>
      </c>
      <c r="L222" s="3">
        <v>44881</v>
      </c>
      <c r="M222" s="2">
        <f t="shared" si="17"/>
        <v>22.057534246575344</v>
      </c>
      <c r="N222" t="e">
        <f t="shared" si="18"/>
        <v>#VALUE!</v>
      </c>
      <c r="O222" t="s">
        <v>15</v>
      </c>
      <c r="P222" t="e">
        <f t="shared" si="19"/>
        <v>#VALUE!</v>
      </c>
      <c r="Q222" s="1" t="e">
        <f>((P222-O222)/P222)</f>
        <v>#VALUE!</v>
      </c>
    </row>
    <row r="223" spans="1:18" x14ac:dyDescent="0.25">
      <c r="A223" t="s">
        <v>68</v>
      </c>
      <c r="B223" t="s">
        <v>11</v>
      </c>
      <c r="C223" t="s">
        <v>26</v>
      </c>
      <c r="D223" t="s">
        <v>27</v>
      </c>
      <c r="E223" t="s">
        <v>14</v>
      </c>
      <c r="F223" t="s">
        <v>15</v>
      </c>
      <c r="G223" t="s">
        <v>15</v>
      </c>
      <c r="H223">
        <v>27</v>
      </c>
      <c r="I223" t="s">
        <v>16</v>
      </c>
      <c r="J223" t="s">
        <v>31</v>
      </c>
      <c r="K223" s="3">
        <v>36830</v>
      </c>
      <c r="L223" s="3">
        <v>44881</v>
      </c>
      <c r="M223" s="2">
        <f t="shared" si="17"/>
        <v>22.057534246575344</v>
      </c>
      <c r="N223" t="e">
        <f t="shared" si="18"/>
        <v>#VALUE!</v>
      </c>
      <c r="O223" t="s">
        <v>15</v>
      </c>
      <c r="P223" t="e">
        <f t="shared" si="19"/>
        <v>#VALUE!</v>
      </c>
      <c r="Q223" s="1" t="e">
        <f>((P223-O223)/P223)</f>
        <v>#VALUE!</v>
      </c>
    </row>
    <row r="224" spans="1:18" x14ac:dyDescent="0.25">
      <c r="A224" t="s">
        <v>69</v>
      </c>
      <c r="B224" t="s">
        <v>11</v>
      </c>
      <c r="C224" t="s">
        <v>12</v>
      </c>
      <c r="D224" t="s">
        <v>13</v>
      </c>
      <c r="E224" s="5" t="s">
        <v>40</v>
      </c>
      <c r="F224" t="s">
        <v>23</v>
      </c>
      <c r="G224">
        <v>1.2829999999999999</v>
      </c>
      <c r="H224">
        <v>18</v>
      </c>
      <c r="I224" t="s">
        <v>16</v>
      </c>
      <c r="J224" t="s">
        <v>17</v>
      </c>
      <c r="K224" s="3">
        <v>37909</v>
      </c>
      <c r="L224" s="3">
        <v>44826</v>
      </c>
      <c r="M224" s="2">
        <f t="shared" si="17"/>
        <v>18.950684931506849</v>
      </c>
      <c r="N224">
        <f t="shared" si="18"/>
        <v>24.313728767123287</v>
      </c>
      <c r="O224">
        <v>8</v>
      </c>
      <c r="P224">
        <f t="shared" si="19"/>
        <v>32.313728767123287</v>
      </c>
      <c r="Q224" s="1">
        <f>((P224-O224)/O224)</f>
        <v>3.0392160958904109</v>
      </c>
      <c r="R224" t="s">
        <v>130</v>
      </c>
    </row>
    <row r="225" spans="1:18" x14ac:dyDescent="0.25">
      <c r="A225" t="s">
        <v>69</v>
      </c>
      <c r="B225" t="s">
        <v>11</v>
      </c>
      <c r="C225" t="s">
        <v>296</v>
      </c>
      <c r="D225" t="s">
        <v>24</v>
      </c>
      <c r="E225" s="4" t="s">
        <v>40</v>
      </c>
      <c r="F225" t="s">
        <v>23</v>
      </c>
      <c r="G225">
        <v>1.2699999999999999E-2</v>
      </c>
      <c r="H225">
        <v>25</v>
      </c>
      <c r="I225" t="s">
        <v>16</v>
      </c>
      <c r="J225" t="s">
        <v>17</v>
      </c>
      <c r="K225" s="3">
        <v>35899</v>
      </c>
      <c r="L225" s="3">
        <v>44860</v>
      </c>
      <c r="M225" s="2">
        <f t="shared" si="17"/>
        <v>24.550684931506851</v>
      </c>
      <c r="N225">
        <f t="shared" si="18"/>
        <v>0.31179369863013701</v>
      </c>
      <c r="O225">
        <v>0.95</v>
      </c>
      <c r="P225">
        <f t="shared" si="19"/>
        <v>1.261793698630137</v>
      </c>
      <c r="Q225" s="1">
        <f>((P225-O225)/O225)</f>
        <v>0.32820389329488114</v>
      </c>
      <c r="R225" t="s">
        <v>164</v>
      </c>
    </row>
    <row r="226" spans="1:18" x14ac:dyDescent="0.25">
      <c r="A226" t="s">
        <v>69</v>
      </c>
      <c r="B226" t="s">
        <v>11</v>
      </c>
      <c r="C226" t="s">
        <v>18</v>
      </c>
      <c r="D226" t="s">
        <v>19</v>
      </c>
      <c r="E226" t="s">
        <v>14</v>
      </c>
      <c r="F226" t="s">
        <v>15</v>
      </c>
      <c r="G226" t="s">
        <v>15</v>
      </c>
      <c r="H226">
        <v>20</v>
      </c>
      <c r="I226" t="s">
        <v>16</v>
      </c>
      <c r="J226" t="s">
        <v>17</v>
      </c>
      <c r="K226" s="3">
        <v>37200</v>
      </c>
      <c r="L226" s="3">
        <v>44816</v>
      </c>
      <c r="M226" s="2">
        <f t="shared" si="17"/>
        <v>20.865753424657534</v>
      </c>
      <c r="N226" t="e">
        <f t="shared" si="18"/>
        <v>#VALUE!</v>
      </c>
      <c r="O226" t="s">
        <v>15</v>
      </c>
      <c r="P226" t="e">
        <f t="shared" si="19"/>
        <v>#VALUE!</v>
      </c>
      <c r="Q226" s="1" t="e">
        <f>((P226-O226)/P226)</f>
        <v>#VALUE!</v>
      </c>
    </row>
    <row r="227" spans="1:18" x14ac:dyDescent="0.25">
      <c r="A227" t="s">
        <v>69</v>
      </c>
      <c r="B227" t="s">
        <v>11</v>
      </c>
      <c r="C227" t="s">
        <v>20</v>
      </c>
      <c r="D227" t="s">
        <v>21</v>
      </c>
      <c r="E227" t="s">
        <v>14</v>
      </c>
      <c r="F227" t="s">
        <v>15</v>
      </c>
      <c r="G227" s="2" t="s">
        <v>15</v>
      </c>
      <c r="H227">
        <v>27</v>
      </c>
      <c r="I227" t="s">
        <v>17</v>
      </c>
      <c r="J227" t="s">
        <v>17</v>
      </c>
      <c r="K227" s="3">
        <v>35604</v>
      </c>
      <c r="L227" s="3">
        <v>44816</v>
      </c>
      <c r="M227" s="2">
        <f t="shared" si="17"/>
        <v>25.238356164383561</v>
      </c>
      <c r="N227" t="e">
        <f t="shared" si="18"/>
        <v>#VALUE!</v>
      </c>
      <c r="O227" t="s">
        <v>15</v>
      </c>
      <c r="P227" t="e">
        <f t="shared" si="19"/>
        <v>#VALUE!</v>
      </c>
      <c r="Q227" s="1" t="e">
        <f>((P227-O227)/P227)</f>
        <v>#VALUE!</v>
      </c>
    </row>
    <row r="228" spans="1:18" x14ac:dyDescent="0.25">
      <c r="A228" t="s">
        <v>69</v>
      </c>
      <c r="B228" t="s">
        <v>11</v>
      </c>
      <c r="C228" t="s">
        <v>25</v>
      </c>
      <c r="D228" t="s">
        <v>24</v>
      </c>
      <c r="E228" s="4" t="s">
        <v>40</v>
      </c>
      <c r="F228" t="s">
        <v>23</v>
      </c>
      <c r="G228">
        <v>4.7859999999999998E-4</v>
      </c>
      <c r="H228">
        <v>25</v>
      </c>
      <c r="I228" t="s">
        <v>31</v>
      </c>
      <c r="J228" t="s">
        <v>17</v>
      </c>
      <c r="K228" s="3">
        <v>35899</v>
      </c>
      <c r="L228" s="3">
        <v>44816</v>
      </c>
      <c r="M228" s="2">
        <f t="shared" si="17"/>
        <v>24.43013698630137</v>
      </c>
      <c r="N228">
        <f t="shared" si="18"/>
        <v>1.1692263561643835E-2</v>
      </c>
      <c r="O228">
        <v>5.0999999999999997E-2</v>
      </c>
      <c r="P228">
        <f t="shared" si="19"/>
        <v>6.2692263561643827E-2</v>
      </c>
      <c r="Q228" s="1">
        <f>((P228-O228)/O228)</f>
        <v>0.22926006983615355</v>
      </c>
      <c r="R228" t="s">
        <v>172</v>
      </c>
    </row>
    <row r="229" spans="1:18" x14ac:dyDescent="0.25">
      <c r="A229" t="s">
        <v>69</v>
      </c>
      <c r="B229" t="s">
        <v>11</v>
      </c>
      <c r="C229" t="s">
        <v>26</v>
      </c>
      <c r="D229" t="s">
        <v>27</v>
      </c>
      <c r="E229" t="s">
        <v>14</v>
      </c>
      <c r="F229" t="s">
        <v>15</v>
      </c>
      <c r="G229" t="s">
        <v>15</v>
      </c>
      <c r="H229">
        <v>21</v>
      </c>
      <c r="I229" t="s">
        <v>16</v>
      </c>
      <c r="J229" t="s">
        <v>17</v>
      </c>
      <c r="K229" s="3">
        <v>37200</v>
      </c>
      <c r="L229" s="3">
        <v>44816</v>
      </c>
      <c r="M229" s="2">
        <f t="shared" si="17"/>
        <v>20.865753424657534</v>
      </c>
      <c r="N229" t="e">
        <f t="shared" si="18"/>
        <v>#VALUE!</v>
      </c>
      <c r="O229" t="s">
        <v>15</v>
      </c>
      <c r="P229" t="e">
        <f t="shared" si="19"/>
        <v>#VALUE!</v>
      </c>
      <c r="Q229" s="1" t="e">
        <f>((P229-O229)/P229)</f>
        <v>#VALUE!</v>
      </c>
    </row>
    <row r="230" spans="1:18" x14ac:dyDescent="0.25">
      <c r="A230" t="s">
        <v>70</v>
      </c>
      <c r="B230" t="s">
        <v>11</v>
      </c>
      <c r="C230" t="s">
        <v>12</v>
      </c>
      <c r="D230" t="s">
        <v>13</v>
      </c>
      <c r="E230" t="s">
        <v>14</v>
      </c>
      <c r="F230" t="s">
        <v>23</v>
      </c>
      <c r="G230" t="s">
        <v>15</v>
      </c>
      <c r="H230">
        <v>24</v>
      </c>
      <c r="I230" t="s">
        <v>16</v>
      </c>
      <c r="J230" t="s">
        <v>33</v>
      </c>
      <c r="K230" s="3">
        <v>37873</v>
      </c>
      <c r="L230" s="3">
        <v>44446</v>
      </c>
      <c r="M230" s="2">
        <f t="shared" si="17"/>
        <v>18.008219178082193</v>
      </c>
      <c r="N230" t="e">
        <f t="shared" si="18"/>
        <v>#VALUE!</v>
      </c>
      <c r="O230" t="s">
        <v>15</v>
      </c>
      <c r="P230" t="e">
        <f t="shared" si="19"/>
        <v>#VALUE!</v>
      </c>
      <c r="Q230" s="1" t="e">
        <f>((P230-O230)/P230)</f>
        <v>#VALUE!</v>
      </c>
      <c r="R230" t="s">
        <v>133</v>
      </c>
    </row>
    <row r="231" spans="1:18" x14ac:dyDescent="0.25">
      <c r="A231" t="s">
        <v>70</v>
      </c>
      <c r="B231" t="s">
        <v>11</v>
      </c>
      <c r="C231" t="s">
        <v>296</v>
      </c>
      <c r="D231" t="s">
        <v>24</v>
      </c>
      <c r="E231" t="s">
        <v>14</v>
      </c>
      <c r="F231" t="s">
        <v>15</v>
      </c>
      <c r="G231" t="s">
        <v>15</v>
      </c>
      <c r="H231">
        <v>35</v>
      </c>
      <c r="I231" t="s">
        <v>17</v>
      </c>
      <c r="J231" t="s">
        <v>16</v>
      </c>
      <c r="K231" s="3">
        <v>37173</v>
      </c>
      <c r="L231" s="3">
        <v>44446</v>
      </c>
      <c r="M231" s="2">
        <f t="shared" si="17"/>
        <v>19.926027397260274</v>
      </c>
      <c r="N231" t="e">
        <f t="shared" si="18"/>
        <v>#VALUE!</v>
      </c>
      <c r="O231" t="s">
        <v>15</v>
      </c>
      <c r="P231" t="e">
        <f t="shared" si="19"/>
        <v>#VALUE!</v>
      </c>
      <c r="Q231" s="1" t="e">
        <f>((P231-O231)/P231)</f>
        <v>#VALUE!</v>
      </c>
    </row>
    <row r="232" spans="1:18" x14ac:dyDescent="0.25">
      <c r="A232" t="s">
        <v>70</v>
      </c>
      <c r="B232" t="s">
        <v>11</v>
      </c>
      <c r="C232" t="s">
        <v>18</v>
      </c>
      <c r="D232" t="s">
        <v>19</v>
      </c>
      <c r="E232" s="5" t="s">
        <v>40</v>
      </c>
      <c r="F232" t="s">
        <v>23</v>
      </c>
      <c r="G232">
        <v>1.3320000000000001</v>
      </c>
      <c r="H232">
        <v>20</v>
      </c>
      <c r="I232" t="s">
        <v>16</v>
      </c>
      <c r="J232" t="s">
        <v>17</v>
      </c>
      <c r="K232" s="3">
        <v>37265</v>
      </c>
      <c r="L232" s="3">
        <v>44446</v>
      </c>
      <c r="M232" s="2">
        <f t="shared" si="17"/>
        <v>19.673972602739727</v>
      </c>
      <c r="N232">
        <f t="shared" si="18"/>
        <v>26.205731506849318</v>
      </c>
      <c r="O232">
        <v>65</v>
      </c>
      <c r="P232">
        <f t="shared" si="19"/>
        <v>91.205731506849318</v>
      </c>
      <c r="Q232" s="1">
        <f>((P232-O232)/O232)</f>
        <v>0.40316510010537415</v>
      </c>
      <c r="R232" t="s">
        <v>184</v>
      </c>
    </row>
    <row r="233" spans="1:18" x14ac:dyDescent="0.25">
      <c r="A233" t="s">
        <v>70</v>
      </c>
      <c r="B233" t="s">
        <v>11</v>
      </c>
      <c r="C233" t="s">
        <v>20</v>
      </c>
      <c r="D233" t="s">
        <v>21</v>
      </c>
      <c r="E233" t="s">
        <v>22</v>
      </c>
      <c r="F233" t="s">
        <v>23</v>
      </c>
      <c r="G233" s="2">
        <v>8.6940000000000008</v>
      </c>
      <c r="H233">
        <v>32</v>
      </c>
      <c r="I233" t="s">
        <v>16</v>
      </c>
      <c r="J233" t="s">
        <v>16</v>
      </c>
      <c r="K233" s="3">
        <v>35843</v>
      </c>
      <c r="L233" s="3">
        <v>43334</v>
      </c>
      <c r="M233" s="2">
        <f t="shared" si="17"/>
        <v>20.523287671232875</v>
      </c>
      <c r="N233">
        <f t="shared" si="18"/>
        <v>178.42946301369864</v>
      </c>
      <c r="O233">
        <v>900</v>
      </c>
      <c r="P233">
        <f t="shared" si="19"/>
        <v>1078.4294630136988</v>
      </c>
      <c r="Q233" s="1">
        <f>((P233-O233)/O233)</f>
        <v>0.19825495890410971</v>
      </c>
      <c r="R233" t="s">
        <v>142</v>
      </c>
    </row>
    <row r="234" spans="1:18" x14ac:dyDescent="0.25">
      <c r="A234" t="s">
        <v>70</v>
      </c>
      <c r="B234" t="s">
        <v>11</v>
      </c>
      <c r="C234" t="s">
        <v>25</v>
      </c>
      <c r="D234" t="s">
        <v>24</v>
      </c>
      <c r="E234" s="4" t="s">
        <v>22</v>
      </c>
      <c r="F234" t="s">
        <v>23</v>
      </c>
      <c r="G234">
        <v>2.9970000000000001E-3</v>
      </c>
      <c r="H234">
        <v>30</v>
      </c>
      <c r="I234" t="s">
        <v>16</v>
      </c>
      <c r="J234" t="s">
        <v>17</v>
      </c>
      <c r="K234" s="3">
        <v>37173</v>
      </c>
      <c r="L234" s="3">
        <v>44446</v>
      </c>
      <c r="M234" s="2">
        <f t="shared" si="17"/>
        <v>19.926027397260274</v>
      </c>
      <c r="N234">
        <f t="shared" si="18"/>
        <v>5.9718304109589046E-2</v>
      </c>
      <c r="O234">
        <v>0.06</v>
      </c>
      <c r="P234">
        <f t="shared" si="19"/>
        <v>0.11971830410958904</v>
      </c>
      <c r="Q234" s="1">
        <f>((P234-O234)/O234)</f>
        <v>0.99530506849315081</v>
      </c>
      <c r="R234" t="s">
        <v>142</v>
      </c>
    </row>
    <row r="235" spans="1:18" x14ac:dyDescent="0.25">
      <c r="A235" t="s">
        <v>70</v>
      </c>
      <c r="B235" t="s">
        <v>11</v>
      </c>
      <c r="C235" t="s">
        <v>26</v>
      </c>
      <c r="D235" t="s">
        <v>27</v>
      </c>
      <c r="E235" s="5" t="s">
        <v>28</v>
      </c>
      <c r="F235" t="s">
        <v>29</v>
      </c>
      <c r="G235">
        <v>-0.22209999999999999</v>
      </c>
      <c r="H235">
        <v>25</v>
      </c>
      <c r="I235" t="s">
        <v>16</v>
      </c>
      <c r="J235" t="s">
        <v>17</v>
      </c>
      <c r="K235" s="3">
        <v>37173</v>
      </c>
      <c r="L235" s="3">
        <v>44446</v>
      </c>
      <c r="M235" s="2">
        <f t="shared" si="17"/>
        <v>19.926027397260274</v>
      </c>
      <c r="N235">
        <f t="shared" si="18"/>
        <v>-4.4255706849315066</v>
      </c>
      <c r="O235">
        <v>9</v>
      </c>
      <c r="P235">
        <f t="shared" si="19"/>
        <v>4.5744293150684934</v>
      </c>
      <c r="Q235" s="1">
        <f>((P235-O235)/O235)</f>
        <v>-0.49173007610350072</v>
      </c>
      <c r="R235" t="s">
        <v>147</v>
      </c>
    </row>
    <row r="236" spans="1:18" x14ac:dyDescent="0.25">
      <c r="A236" t="s">
        <v>71</v>
      </c>
      <c r="B236" t="s">
        <v>11</v>
      </c>
      <c r="C236" t="s">
        <v>12</v>
      </c>
      <c r="D236" t="s">
        <v>13</v>
      </c>
      <c r="E236" t="s">
        <v>14</v>
      </c>
      <c r="F236" t="s">
        <v>15</v>
      </c>
      <c r="G236" t="s">
        <v>15</v>
      </c>
      <c r="H236">
        <v>28</v>
      </c>
      <c r="I236" t="s">
        <v>17</v>
      </c>
      <c r="J236" t="s">
        <v>17</v>
      </c>
      <c r="K236" s="3">
        <v>37755</v>
      </c>
      <c r="L236" s="3">
        <v>44831</v>
      </c>
      <c r="M236" s="2">
        <f t="shared" si="17"/>
        <v>19.386301369863013</v>
      </c>
      <c r="N236" t="e">
        <f t="shared" si="18"/>
        <v>#VALUE!</v>
      </c>
      <c r="O236" t="s">
        <v>15</v>
      </c>
      <c r="P236" t="e">
        <f t="shared" si="19"/>
        <v>#VALUE!</v>
      </c>
      <c r="Q236" s="1" t="e">
        <f>((P236-O236)/P236)</f>
        <v>#VALUE!</v>
      </c>
    </row>
    <row r="237" spans="1:18" x14ac:dyDescent="0.25">
      <c r="A237" t="s">
        <v>71</v>
      </c>
      <c r="B237" t="s">
        <v>11</v>
      </c>
      <c r="C237" t="s">
        <v>296</v>
      </c>
      <c r="D237" t="s">
        <v>24</v>
      </c>
      <c r="E237" s="4" t="s">
        <v>40</v>
      </c>
      <c r="F237" t="s">
        <v>23</v>
      </c>
      <c r="G237">
        <v>6.6519999999999999E-3</v>
      </c>
      <c r="H237">
        <v>35</v>
      </c>
      <c r="I237" t="s">
        <v>16</v>
      </c>
      <c r="J237" t="s">
        <v>17</v>
      </c>
      <c r="K237" s="3">
        <v>36440</v>
      </c>
      <c r="L237" s="3">
        <v>44872</v>
      </c>
      <c r="M237" s="2">
        <f t="shared" si="17"/>
        <v>23.101369863013698</v>
      </c>
      <c r="N237">
        <f t="shared" si="18"/>
        <v>0.15367031232876713</v>
      </c>
      <c r="O237">
        <v>0.9</v>
      </c>
      <c r="P237">
        <f t="shared" si="19"/>
        <v>1.0536703123287672</v>
      </c>
      <c r="Q237" s="1">
        <f>((P237-O237)/O237)</f>
        <v>0.17074479147640795</v>
      </c>
      <c r="R237" t="s">
        <v>162</v>
      </c>
    </row>
    <row r="238" spans="1:18" x14ac:dyDescent="0.25">
      <c r="A238" t="s">
        <v>71</v>
      </c>
      <c r="B238" t="s">
        <v>11</v>
      </c>
      <c r="C238" t="s">
        <v>18</v>
      </c>
      <c r="D238" t="s">
        <v>19</v>
      </c>
      <c r="E238" t="s">
        <v>14</v>
      </c>
      <c r="F238" t="s">
        <v>15</v>
      </c>
      <c r="G238" t="s">
        <v>15</v>
      </c>
      <c r="H238">
        <v>20</v>
      </c>
      <c r="I238" t="s">
        <v>16</v>
      </c>
      <c r="J238" t="s">
        <v>16</v>
      </c>
      <c r="K238" s="3">
        <v>40833</v>
      </c>
      <c r="L238" s="3">
        <v>44831</v>
      </c>
      <c r="M238" s="2">
        <f t="shared" si="17"/>
        <v>10.953424657534246</v>
      </c>
      <c r="N238" t="e">
        <f t="shared" si="18"/>
        <v>#VALUE!</v>
      </c>
      <c r="O238" t="s">
        <v>15</v>
      </c>
      <c r="P238" t="e">
        <f t="shared" si="19"/>
        <v>#VALUE!</v>
      </c>
      <c r="Q238" s="1" t="e">
        <f>((P238-O238)/P238)</f>
        <v>#VALUE!</v>
      </c>
    </row>
    <row r="239" spans="1:18" x14ac:dyDescent="0.25">
      <c r="A239" t="s">
        <v>71</v>
      </c>
      <c r="B239" t="s">
        <v>11</v>
      </c>
      <c r="C239" t="s">
        <v>20</v>
      </c>
      <c r="D239" t="s">
        <v>21</v>
      </c>
      <c r="E239" t="s">
        <v>22</v>
      </c>
      <c r="F239" t="s">
        <v>23</v>
      </c>
      <c r="G239" s="2">
        <v>1.659</v>
      </c>
      <c r="H239">
        <v>29</v>
      </c>
      <c r="I239" t="s">
        <v>16</v>
      </c>
      <c r="J239" t="s">
        <v>16</v>
      </c>
      <c r="K239" s="3">
        <v>36537</v>
      </c>
      <c r="L239" s="3">
        <v>44872</v>
      </c>
      <c r="M239" s="2">
        <f t="shared" si="17"/>
        <v>22.835616438356166</v>
      </c>
      <c r="N239">
        <f t="shared" si="18"/>
        <v>37.884287671232876</v>
      </c>
      <c r="O239">
        <v>65</v>
      </c>
      <c r="P239">
        <f t="shared" si="19"/>
        <v>102.88428767123287</v>
      </c>
      <c r="Q239" s="1">
        <f>((P239-O239)/O239)</f>
        <v>0.58283519494204417</v>
      </c>
      <c r="R239" t="s">
        <v>142</v>
      </c>
    </row>
    <row r="240" spans="1:18" x14ac:dyDescent="0.25">
      <c r="A240" t="s">
        <v>71</v>
      </c>
      <c r="B240" t="s">
        <v>11</v>
      </c>
      <c r="C240" t="s">
        <v>25</v>
      </c>
      <c r="D240" t="s">
        <v>24</v>
      </c>
      <c r="E240" t="s">
        <v>14</v>
      </c>
      <c r="F240" t="s">
        <v>15</v>
      </c>
      <c r="G240" t="s">
        <v>15</v>
      </c>
      <c r="H240">
        <v>36</v>
      </c>
      <c r="I240" t="s">
        <v>33</v>
      </c>
      <c r="J240" t="s">
        <v>16</v>
      </c>
      <c r="K240" s="3">
        <v>36440</v>
      </c>
      <c r="L240" s="3">
        <v>44831</v>
      </c>
      <c r="M240" s="2">
        <f t="shared" si="17"/>
        <v>22.989041095890411</v>
      </c>
      <c r="N240" t="e">
        <f t="shared" si="18"/>
        <v>#VALUE!</v>
      </c>
      <c r="O240" t="s">
        <v>15</v>
      </c>
      <c r="P240" t="e">
        <f t="shared" si="19"/>
        <v>#VALUE!</v>
      </c>
      <c r="Q240" s="1" t="e">
        <f>((P240-O240)/P240)</f>
        <v>#VALUE!</v>
      </c>
    </row>
    <row r="241" spans="1:18" x14ac:dyDescent="0.25">
      <c r="A241" t="s">
        <v>71</v>
      </c>
      <c r="B241" t="s">
        <v>11</v>
      </c>
      <c r="C241" t="s">
        <v>26</v>
      </c>
      <c r="D241" t="s">
        <v>27</v>
      </c>
      <c r="E241" t="s">
        <v>14</v>
      </c>
      <c r="F241" t="s">
        <v>15</v>
      </c>
      <c r="G241" t="s">
        <v>15</v>
      </c>
      <c r="H241">
        <v>23</v>
      </c>
      <c r="I241" t="s">
        <v>16</v>
      </c>
      <c r="J241" t="s">
        <v>16</v>
      </c>
      <c r="K241" s="3">
        <v>38306</v>
      </c>
      <c r="L241" s="3">
        <v>44831</v>
      </c>
      <c r="M241" s="2">
        <f t="shared" si="17"/>
        <v>17.876712328767123</v>
      </c>
      <c r="N241" t="e">
        <f t="shared" si="18"/>
        <v>#VALUE!</v>
      </c>
      <c r="O241" t="s">
        <v>15</v>
      </c>
      <c r="P241" t="e">
        <f t="shared" si="19"/>
        <v>#VALUE!</v>
      </c>
      <c r="Q241" s="1" t="e">
        <f>((P241-O241)/P241)</f>
        <v>#VALUE!</v>
      </c>
    </row>
    <row r="242" spans="1:18" x14ac:dyDescent="0.25">
      <c r="A242" t="s">
        <v>72</v>
      </c>
      <c r="B242" t="s">
        <v>11</v>
      </c>
      <c r="C242" t="s">
        <v>12</v>
      </c>
      <c r="D242" t="s">
        <v>13</v>
      </c>
      <c r="E242" s="5" t="s">
        <v>38</v>
      </c>
      <c r="F242" t="s">
        <v>23</v>
      </c>
      <c r="G242">
        <v>0.28910000000000002</v>
      </c>
      <c r="H242">
        <v>28</v>
      </c>
      <c r="I242" t="s">
        <v>16</v>
      </c>
      <c r="J242" t="s">
        <v>17</v>
      </c>
      <c r="K242" s="3">
        <v>37762</v>
      </c>
      <c r="L242" s="3">
        <v>44486</v>
      </c>
      <c r="M242" s="2">
        <f t="shared" si="17"/>
        <v>18.421917808219177</v>
      </c>
      <c r="N242">
        <f t="shared" si="18"/>
        <v>5.325776438356165</v>
      </c>
      <c r="O242">
        <v>5.5</v>
      </c>
      <c r="P242">
        <f t="shared" si="19"/>
        <v>10.825776438356165</v>
      </c>
      <c r="Q242" s="1">
        <f>((P242-O242)/O242)</f>
        <v>0.96832298879203005</v>
      </c>
      <c r="R242" t="s">
        <v>138</v>
      </c>
    </row>
    <row r="243" spans="1:18" x14ac:dyDescent="0.25">
      <c r="A243" t="s">
        <v>72</v>
      </c>
      <c r="B243" t="s">
        <v>11</v>
      </c>
      <c r="C243" t="s">
        <v>296</v>
      </c>
      <c r="D243" t="s">
        <v>24</v>
      </c>
      <c r="E243" s="4" t="s">
        <v>22</v>
      </c>
      <c r="F243" t="s">
        <v>23</v>
      </c>
      <c r="G243">
        <v>1.4189999999999999E-2</v>
      </c>
      <c r="H243">
        <v>33</v>
      </c>
      <c r="I243" t="s">
        <v>16</v>
      </c>
      <c r="J243" t="s">
        <v>17</v>
      </c>
      <c r="K243" s="3">
        <v>36481</v>
      </c>
      <c r="L243" s="3">
        <v>44453</v>
      </c>
      <c r="M243" s="2">
        <f t="shared" si="17"/>
        <v>21.841095890410958</v>
      </c>
      <c r="N243">
        <f t="shared" si="18"/>
        <v>0.30992515068493148</v>
      </c>
      <c r="O243">
        <v>0.65</v>
      </c>
      <c r="P243">
        <f t="shared" si="19"/>
        <v>0.95992515068493156</v>
      </c>
      <c r="Q243" s="1">
        <f>((P243-O243)/O243)</f>
        <v>0.47680792413066386</v>
      </c>
    </row>
    <row r="244" spans="1:18" x14ac:dyDescent="0.25">
      <c r="A244" t="s">
        <v>72</v>
      </c>
      <c r="B244" t="s">
        <v>11</v>
      </c>
      <c r="C244" t="s">
        <v>18</v>
      </c>
      <c r="D244" t="s">
        <v>19</v>
      </c>
      <c r="E244" t="s">
        <v>14</v>
      </c>
      <c r="F244" t="s">
        <v>15</v>
      </c>
      <c r="G244" t="s">
        <v>15</v>
      </c>
      <c r="H244">
        <v>21</v>
      </c>
      <c r="I244" t="s">
        <v>16</v>
      </c>
      <c r="J244" t="s">
        <v>17</v>
      </c>
      <c r="K244" s="3">
        <v>40149</v>
      </c>
      <c r="L244" s="3">
        <v>44453</v>
      </c>
      <c r="M244" s="2">
        <f t="shared" si="17"/>
        <v>11.791780821917808</v>
      </c>
      <c r="N244" t="e">
        <f t="shared" si="18"/>
        <v>#VALUE!</v>
      </c>
      <c r="O244" t="s">
        <v>15</v>
      </c>
      <c r="P244" t="e">
        <f t="shared" si="19"/>
        <v>#VALUE!</v>
      </c>
      <c r="Q244" s="1" t="e">
        <f>((P244-O244)/P244)</f>
        <v>#VALUE!</v>
      </c>
    </row>
    <row r="245" spans="1:18" x14ac:dyDescent="0.25">
      <c r="A245" t="s">
        <v>72</v>
      </c>
      <c r="B245" t="s">
        <v>11</v>
      </c>
      <c r="C245" t="s">
        <v>20</v>
      </c>
      <c r="D245" t="s">
        <v>21</v>
      </c>
      <c r="E245" t="s">
        <v>22</v>
      </c>
      <c r="F245" t="s">
        <v>23</v>
      </c>
      <c r="G245" s="2">
        <v>3.673</v>
      </c>
      <c r="H245">
        <v>34</v>
      </c>
      <c r="I245" t="s">
        <v>16</v>
      </c>
      <c r="J245" t="s">
        <v>33</v>
      </c>
      <c r="K245" s="3">
        <v>36481</v>
      </c>
      <c r="L245" s="3">
        <v>44453</v>
      </c>
      <c r="M245" s="2">
        <f t="shared" si="17"/>
        <v>21.841095890410958</v>
      </c>
      <c r="N245">
        <f t="shared" si="18"/>
        <v>80.222345205479456</v>
      </c>
      <c r="O245">
        <v>170</v>
      </c>
      <c r="P245">
        <f t="shared" si="19"/>
        <v>250.22234520547946</v>
      </c>
      <c r="Q245" s="1">
        <f>((P245-O245)/O245)</f>
        <v>0.47189614826752624</v>
      </c>
      <c r="R245" t="s">
        <v>142</v>
      </c>
    </row>
    <row r="246" spans="1:18" x14ac:dyDescent="0.25">
      <c r="A246" t="s">
        <v>72</v>
      </c>
      <c r="B246" t="s">
        <v>11</v>
      </c>
      <c r="C246" t="s">
        <v>25</v>
      </c>
      <c r="D246" t="s">
        <v>24</v>
      </c>
      <c r="E246" t="s">
        <v>14</v>
      </c>
      <c r="F246" t="s">
        <v>15</v>
      </c>
      <c r="G246" t="s">
        <v>15</v>
      </c>
      <c r="H246">
        <v>33</v>
      </c>
      <c r="I246" t="s">
        <v>16</v>
      </c>
      <c r="J246" t="s">
        <v>17</v>
      </c>
      <c r="K246" s="3">
        <v>36481</v>
      </c>
      <c r="L246" s="3">
        <v>44453</v>
      </c>
      <c r="M246" s="2">
        <f t="shared" si="17"/>
        <v>21.841095890410958</v>
      </c>
      <c r="N246" t="e">
        <f t="shared" si="18"/>
        <v>#VALUE!</v>
      </c>
      <c r="O246" t="s">
        <v>15</v>
      </c>
      <c r="P246" t="e">
        <f t="shared" si="19"/>
        <v>#VALUE!</v>
      </c>
      <c r="Q246" s="1" t="e">
        <f>((P246-O246)/P246)</f>
        <v>#VALUE!</v>
      </c>
    </row>
    <row r="247" spans="1:18" x14ac:dyDescent="0.25">
      <c r="A247" t="s">
        <v>72</v>
      </c>
      <c r="B247" t="s">
        <v>11</v>
      </c>
      <c r="C247" t="s">
        <v>26</v>
      </c>
      <c r="D247" t="s">
        <v>27</v>
      </c>
      <c r="E247" t="s">
        <v>14</v>
      </c>
      <c r="F247" t="s">
        <v>15</v>
      </c>
      <c r="G247" t="s">
        <v>15</v>
      </c>
      <c r="H247">
        <v>25</v>
      </c>
      <c r="I247" t="s">
        <v>16</v>
      </c>
      <c r="J247" t="s">
        <v>17</v>
      </c>
      <c r="K247" s="3">
        <v>38278</v>
      </c>
      <c r="L247" s="3">
        <v>44453</v>
      </c>
      <c r="M247" s="2">
        <f t="shared" si="17"/>
        <v>16.917808219178081</v>
      </c>
      <c r="N247" t="e">
        <f t="shared" si="18"/>
        <v>#VALUE!</v>
      </c>
      <c r="O247" t="s">
        <v>15</v>
      </c>
      <c r="P247" t="e">
        <f t="shared" si="19"/>
        <v>#VALUE!</v>
      </c>
      <c r="Q247" s="1" t="e">
        <f>((P247-O247)/P247)</f>
        <v>#VALUE!</v>
      </c>
    </row>
    <row r="248" spans="1:18" x14ac:dyDescent="0.25">
      <c r="A248" t="s">
        <v>73</v>
      </c>
      <c r="B248" t="s">
        <v>11</v>
      </c>
      <c r="C248" t="s">
        <v>12</v>
      </c>
      <c r="D248" t="s">
        <v>13</v>
      </c>
      <c r="E248" s="5" t="s">
        <v>40</v>
      </c>
      <c r="F248" t="s">
        <v>23</v>
      </c>
      <c r="G248">
        <v>0.26800000000000002</v>
      </c>
      <c r="H248">
        <v>25</v>
      </c>
      <c r="I248" t="s">
        <v>33</v>
      </c>
      <c r="J248" t="s">
        <v>17</v>
      </c>
      <c r="K248" s="3">
        <v>37895</v>
      </c>
      <c r="L248" s="3">
        <v>44895</v>
      </c>
      <c r="M248" s="2">
        <f t="shared" si="17"/>
        <v>19.17808219178082</v>
      </c>
      <c r="N248">
        <f t="shared" si="18"/>
        <v>5.13972602739726</v>
      </c>
      <c r="O248">
        <v>11</v>
      </c>
      <c r="P248">
        <f t="shared" si="19"/>
        <v>16.139726027397259</v>
      </c>
      <c r="Q248" s="1">
        <f>((P248-O248)/O248)</f>
        <v>0.46724782067247811</v>
      </c>
      <c r="R248" t="s">
        <v>138</v>
      </c>
    </row>
    <row r="249" spans="1:18" x14ac:dyDescent="0.25">
      <c r="A249" t="s">
        <v>73</v>
      </c>
      <c r="B249" t="s">
        <v>11</v>
      </c>
      <c r="C249" t="s">
        <v>296</v>
      </c>
      <c r="D249" t="s">
        <v>24</v>
      </c>
      <c r="E249" s="4" t="s">
        <v>22</v>
      </c>
      <c r="F249" t="s">
        <v>23</v>
      </c>
      <c r="G249">
        <v>1.1610000000000001E-2</v>
      </c>
      <c r="H249">
        <v>28</v>
      </c>
      <c r="I249" t="s">
        <v>16</v>
      </c>
      <c r="J249" t="s">
        <v>16</v>
      </c>
      <c r="K249" s="3">
        <v>37187</v>
      </c>
      <c r="L249" s="3">
        <v>44895</v>
      </c>
      <c r="M249" s="2">
        <f t="shared" si="17"/>
        <v>21.117808219178084</v>
      </c>
      <c r="N249">
        <f t="shared" si="18"/>
        <v>0.24517775342465756</v>
      </c>
      <c r="O249">
        <v>0.75</v>
      </c>
      <c r="P249">
        <f t="shared" si="19"/>
        <v>0.99517775342465753</v>
      </c>
      <c r="Q249" s="1">
        <f>((P249-O249)/O249)</f>
        <v>0.32690367123287672</v>
      </c>
      <c r="R249" t="s">
        <v>147</v>
      </c>
    </row>
    <row r="250" spans="1:18" x14ac:dyDescent="0.25">
      <c r="A250" t="s">
        <v>73</v>
      </c>
      <c r="B250" t="s">
        <v>11</v>
      </c>
      <c r="C250" t="s">
        <v>18</v>
      </c>
      <c r="D250" t="s">
        <v>19</v>
      </c>
      <c r="E250" s="4" t="s">
        <v>28</v>
      </c>
      <c r="F250" t="s">
        <v>29</v>
      </c>
      <c r="G250">
        <v>-1.5569999999999999</v>
      </c>
      <c r="H250">
        <v>25</v>
      </c>
      <c r="I250" t="s">
        <v>33</v>
      </c>
      <c r="J250" t="s">
        <v>17</v>
      </c>
      <c r="K250" s="3">
        <v>37187</v>
      </c>
      <c r="L250" s="3">
        <v>44895</v>
      </c>
      <c r="M250" s="2">
        <f t="shared" si="17"/>
        <v>21.117808219178084</v>
      </c>
      <c r="N250">
        <f t="shared" si="18"/>
        <v>-32.880427397260277</v>
      </c>
      <c r="O250">
        <v>70</v>
      </c>
      <c r="P250">
        <f t="shared" si="19"/>
        <v>37.119572602739723</v>
      </c>
      <c r="Q250" s="1">
        <f>((P250-O250)/O250)</f>
        <v>-0.46972039138943256</v>
      </c>
      <c r="R250" t="s">
        <v>144</v>
      </c>
    </row>
    <row r="251" spans="1:18" x14ac:dyDescent="0.25">
      <c r="A251" t="s">
        <v>73</v>
      </c>
      <c r="B251" t="s">
        <v>11</v>
      </c>
      <c r="C251" t="s">
        <v>20</v>
      </c>
      <c r="D251" t="s">
        <v>21</v>
      </c>
      <c r="E251" t="s">
        <v>22</v>
      </c>
      <c r="F251" t="s">
        <v>23</v>
      </c>
      <c r="G251" s="2">
        <v>3.9409999999999998</v>
      </c>
      <c r="H251">
        <v>27</v>
      </c>
      <c r="I251" t="s">
        <v>16</v>
      </c>
      <c r="J251" t="s">
        <v>16</v>
      </c>
      <c r="K251" s="3">
        <v>37187</v>
      </c>
      <c r="L251" s="3">
        <v>44869</v>
      </c>
      <c r="M251" s="2">
        <f t="shared" si="17"/>
        <v>21.046575342465754</v>
      </c>
      <c r="N251">
        <f t="shared" si="18"/>
        <v>82.944553424657528</v>
      </c>
      <c r="O251">
        <v>155</v>
      </c>
      <c r="P251">
        <f t="shared" si="19"/>
        <v>237.94455342465753</v>
      </c>
      <c r="Q251" s="1">
        <f>((P251-O251)/O251)</f>
        <v>0.53512615112682271</v>
      </c>
      <c r="R251" t="s">
        <v>142</v>
      </c>
    </row>
    <row r="252" spans="1:18" x14ac:dyDescent="0.25">
      <c r="A252" t="s">
        <v>73</v>
      </c>
      <c r="B252" t="s">
        <v>11</v>
      </c>
      <c r="C252" t="s">
        <v>25</v>
      </c>
      <c r="D252" t="s">
        <v>24</v>
      </c>
      <c r="E252" t="s">
        <v>14</v>
      </c>
      <c r="F252" t="s">
        <v>15</v>
      </c>
      <c r="G252" t="s">
        <v>15</v>
      </c>
      <c r="H252">
        <v>22</v>
      </c>
      <c r="I252" t="s">
        <v>16</v>
      </c>
      <c r="J252" t="s">
        <v>16</v>
      </c>
      <c r="K252" s="3">
        <v>37187</v>
      </c>
      <c r="L252" s="3">
        <v>44895</v>
      </c>
      <c r="M252" s="2">
        <f t="shared" si="17"/>
        <v>21.117808219178084</v>
      </c>
      <c r="N252" t="e">
        <f t="shared" si="18"/>
        <v>#VALUE!</v>
      </c>
      <c r="O252" t="s">
        <v>15</v>
      </c>
      <c r="P252" t="e">
        <f t="shared" si="19"/>
        <v>#VALUE!</v>
      </c>
      <c r="Q252" s="1" t="e">
        <f>((P252-O252)/P252)</f>
        <v>#VALUE!</v>
      </c>
    </row>
    <row r="253" spans="1:18" x14ac:dyDescent="0.25">
      <c r="A253" t="s">
        <v>73</v>
      </c>
      <c r="B253" t="s">
        <v>11</v>
      </c>
      <c r="C253" t="s">
        <v>26</v>
      </c>
      <c r="D253" t="s">
        <v>27</v>
      </c>
      <c r="E253" t="s">
        <v>14</v>
      </c>
      <c r="F253" t="s">
        <v>15</v>
      </c>
      <c r="G253" t="s">
        <v>15</v>
      </c>
      <c r="H253">
        <v>26</v>
      </c>
      <c r="I253" t="s">
        <v>33</v>
      </c>
      <c r="J253" t="s">
        <v>17</v>
      </c>
      <c r="K253" s="3">
        <v>37187</v>
      </c>
      <c r="L253" s="3">
        <v>44895</v>
      </c>
      <c r="M253" s="2">
        <f t="shared" si="17"/>
        <v>21.117808219178084</v>
      </c>
      <c r="N253" t="e">
        <f t="shared" si="18"/>
        <v>#VALUE!</v>
      </c>
      <c r="O253" t="s">
        <v>15</v>
      </c>
      <c r="P253" t="e">
        <f t="shared" si="19"/>
        <v>#VALUE!</v>
      </c>
      <c r="Q253" s="1" t="e">
        <f>((P253-O253)/P253)</f>
        <v>#VALUE!</v>
      </c>
      <c r="R253" t="s">
        <v>194</v>
      </c>
    </row>
    <row r="254" spans="1:18" x14ac:dyDescent="0.25">
      <c r="A254" t="s">
        <v>74</v>
      </c>
      <c r="B254" t="s">
        <v>11</v>
      </c>
      <c r="C254" t="s">
        <v>12</v>
      </c>
      <c r="D254" t="s">
        <v>13</v>
      </c>
      <c r="E254" t="s">
        <v>14</v>
      </c>
      <c r="F254" t="s">
        <v>29</v>
      </c>
      <c r="G254" t="s">
        <v>15</v>
      </c>
      <c r="H254">
        <v>20</v>
      </c>
      <c r="I254" t="s">
        <v>16</v>
      </c>
      <c r="J254" t="s">
        <v>33</v>
      </c>
      <c r="K254" s="3">
        <v>37886</v>
      </c>
      <c r="L254" s="3">
        <v>43312</v>
      </c>
      <c r="M254" s="2">
        <f t="shared" si="17"/>
        <v>14.865753424657534</v>
      </c>
      <c r="N254" t="e">
        <f t="shared" si="18"/>
        <v>#VALUE!</v>
      </c>
      <c r="O254" t="s">
        <v>15</v>
      </c>
      <c r="P254" t="e">
        <f t="shared" si="19"/>
        <v>#VALUE!</v>
      </c>
      <c r="Q254" s="1" t="e">
        <f>((P254-O254)/P254)</f>
        <v>#VALUE!</v>
      </c>
      <c r="R254" t="s">
        <v>133</v>
      </c>
    </row>
    <row r="255" spans="1:18" x14ac:dyDescent="0.25">
      <c r="A255" t="s">
        <v>74</v>
      </c>
      <c r="B255" t="s">
        <v>11</v>
      </c>
      <c r="C255" t="s">
        <v>296</v>
      </c>
      <c r="D255" t="s">
        <v>24</v>
      </c>
      <c r="E255" s="4" t="s">
        <v>28</v>
      </c>
      <c r="F255" t="s">
        <v>29</v>
      </c>
      <c r="G255">
        <v>-9.4540000000000006E-3</v>
      </c>
      <c r="H255">
        <v>22</v>
      </c>
      <c r="I255" t="s">
        <v>31</v>
      </c>
      <c r="J255" t="s">
        <v>16</v>
      </c>
      <c r="K255" s="3">
        <v>35913</v>
      </c>
      <c r="L255" s="3">
        <v>43348</v>
      </c>
      <c r="M255" s="2">
        <f t="shared" si="17"/>
        <v>20.36986301369863</v>
      </c>
      <c r="N255">
        <f t="shared" si="18"/>
        <v>-0.19257668493150687</v>
      </c>
      <c r="O255">
        <v>0.74</v>
      </c>
      <c r="P255">
        <f t="shared" si="19"/>
        <v>0.54742331506849307</v>
      </c>
      <c r="Q255" s="1">
        <f>((P255-O255)/O255)</f>
        <v>-0.26023876342095531</v>
      </c>
      <c r="R255" t="s">
        <v>158</v>
      </c>
    </row>
    <row r="256" spans="1:18" x14ac:dyDescent="0.25">
      <c r="A256" t="s">
        <v>74</v>
      </c>
      <c r="B256" t="s">
        <v>11</v>
      </c>
      <c r="C256" t="s">
        <v>18</v>
      </c>
      <c r="D256" t="s">
        <v>19</v>
      </c>
      <c r="E256" t="s">
        <v>14</v>
      </c>
      <c r="F256" t="s">
        <v>15</v>
      </c>
      <c r="G256" t="s">
        <v>15</v>
      </c>
      <c r="H256">
        <v>17</v>
      </c>
      <c r="I256" t="s">
        <v>17</v>
      </c>
      <c r="J256" t="s">
        <v>31</v>
      </c>
      <c r="K256" s="3">
        <v>37186</v>
      </c>
      <c r="L256" s="3">
        <v>43312</v>
      </c>
      <c r="M256" s="2">
        <f t="shared" si="17"/>
        <v>16.783561643835615</v>
      </c>
      <c r="N256" t="e">
        <f t="shared" si="18"/>
        <v>#VALUE!</v>
      </c>
      <c r="O256" t="s">
        <v>15</v>
      </c>
      <c r="P256" t="e">
        <f t="shared" si="19"/>
        <v>#VALUE!</v>
      </c>
      <c r="Q256" s="1" t="e">
        <f t="shared" ref="Q256:Q265" si="21">((P256-O256)/P256)</f>
        <v>#VALUE!</v>
      </c>
      <c r="R256" t="s">
        <v>181</v>
      </c>
    </row>
    <row r="257" spans="1:18" x14ac:dyDescent="0.25">
      <c r="A257" t="s">
        <v>74</v>
      </c>
      <c r="B257" t="s">
        <v>11</v>
      </c>
      <c r="C257" t="s">
        <v>25</v>
      </c>
      <c r="D257" t="s">
        <v>24</v>
      </c>
      <c r="E257" t="s">
        <v>14</v>
      </c>
      <c r="F257" t="s">
        <v>15</v>
      </c>
      <c r="G257" t="s">
        <v>15</v>
      </c>
      <c r="H257">
        <v>22</v>
      </c>
      <c r="I257" t="s">
        <v>31</v>
      </c>
      <c r="J257" t="s">
        <v>16</v>
      </c>
      <c r="K257" s="3">
        <v>35913</v>
      </c>
      <c r="L257" s="3">
        <v>43312</v>
      </c>
      <c r="M257" s="2">
        <f t="shared" si="17"/>
        <v>20.271232876712329</v>
      </c>
      <c r="N257" t="e">
        <f t="shared" si="18"/>
        <v>#VALUE!</v>
      </c>
      <c r="O257" t="s">
        <v>15</v>
      </c>
      <c r="P257" t="e">
        <f t="shared" si="19"/>
        <v>#VALUE!</v>
      </c>
      <c r="Q257" s="1" t="e">
        <f t="shared" si="21"/>
        <v>#VALUE!</v>
      </c>
      <c r="R257" t="s">
        <v>171</v>
      </c>
    </row>
    <row r="258" spans="1:18" x14ac:dyDescent="0.25">
      <c r="A258" t="s">
        <v>74</v>
      </c>
      <c r="B258" t="s">
        <v>11</v>
      </c>
      <c r="C258" t="s">
        <v>26</v>
      </c>
      <c r="D258" t="s">
        <v>27</v>
      </c>
      <c r="E258" t="s">
        <v>14</v>
      </c>
      <c r="F258" t="s">
        <v>15</v>
      </c>
      <c r="G258" t="s">
        <v>15</v>
      </c>
      <c r="H258">
        <v>19</v>
      </c>
      <c r="I258" t="s">
        <v>17</v>
      </c>
      <c r="J258" t="s">
        <v>17</v>
      </c>
      <c r="K258" s="3">
        <v>37186</v>
      </c>
      <c r="L258" s="3">
        <v>43312</v>
      </c>
      <c r="M258" s="2">
        <f t="shared" si="17"/>
        <v>16.783561643835615</v>
      </c>
      <c r="N258" t="e">
        <f t="shared" si="18"/>
        <v>#VALUE!</v>
      </c>
      <c r="O258" t="s">
        <v>15</v>
      </c>
      <c r="P258" t="e">
        <f t="shared" si="19"/>
        <v>#VALUE!</v>
      </c>
      <c r="Q258" s="1" t="e">
        <f t="shared" si="21"/>
        <v>#VALUE!</v>
      </c>
      <c r="R258" t="s">
        <v>195</v>
      </c>
    </row>
    <row r="259" spans="1:18" x14ac:dyDescent="0.25">
      <c r="A259" s="5" t="s">
        <v>206</v>
      </c>
      <c r="B259" t="s">
        <v>11</v>
      </c>
      <c r="C259" t="s">
        <v>12</v>
      </c>
      <c r="D259" t="s">
        <v>13</v>
      </c>
      <c r="E259" s="5" t="s">
        <v>14</v>
      </c>
      <c r="F259" t="s">
        <v>15</v>
      </c>
      <c r="G259" t="s">
        <v>15</v>
      </c>
      <c r="H259" s="5">
        <v>17</v>
      </c>
      <c r="I259" s="5" t="s">
        <v>31</v>
      </c>
      <c r="J259" s="5" t="s">
        <v>17</v>
      </c>
      <c r="K259" s="3">
        <v>37893</v>
      </c>
      <c r="L259" s="3">
        <v>42933</v>
      </c>
      <c r="M259" s="2">
        <f t="shared" si="17"/>
        <v>13.808219178082192</v>
      </c>
      <c r="N259" t="e">
        <f t="shared" si="18"/>
        <v>#VALUE!</v>
      </c>
      <c r="O259" t="s">
        <v>15</v>
      </c>
      <c r="P259" t="e">
        <f t="shared" si="19"/>
        <v>#VALUE!</v>
      </c>
      <c r="Q259" s="1" t="e">
        <f t="shared" si="21"/>
        <v>#VALUE!</v>
      </c>
    </row>
    <row r="260" spans="1:18" x14ac:dyDescent="0.25">
      <c r="A260" s="5" t="s">
        <v>206</v>
      </c>
      <c r="B260" t="s">
        <v>11</v>
      </c>
      <c r="C260" t="s">
        <v>296</v>
      </c>
      <c r="D260" t="s">
        <v>24</v>
      </c>
      <c r="E260" s="5" t="s">
        <v>14</v>
      </c>
      <c r="F260" t="s">
        <v>15</v>
      </c>
      <c r="G260" t="s">
        <v>15</v>
      </c>
      <c r="H260" s="6">
        <v>26</v>
      </c>
      <c r="I260" s="5" t="s">
        <v>16</v>
      </c>
      <c r="J260" s="5" t="s">
        <v>16</v>
      </c>
      <c r="K260" s="3">
        <v>36088</v>
      </c>
      <c r="L260" s="3">
        <v>42933</v>
      </c>
      <c r="M260" s="2">
        <f t="shared" si="17"/>
        <v>18.753424657534246</v>
      </c>
      <c r="N260" t="e">
        <f t="shared" si="18"/>
        <v>#VALUE!</v>
      </c>
      <c r="O260" t="s">
        <v>15</v>
      </c>
      <c r="P260" t="e">
        <f t="shared" si="19"/>
        <v>#VALUE!</v>
      </c>
      <c r="Q260" s="1" t="e">
        <f t="shared" si="21"/>
        <v>#VALUE!</v>
      </c>
    </row>
    <row r="261" spans="1:18" x14ac:dyDescent="0.25">
      <c r="A261" s="5" t="s">
        <v>206</v>
      </c>
      <c r="B261" t="s">
        <v>11</v>
      </c>
      <c r="C261" t="s">
        <v>18</v>
      </c>
      <c r="D261" t="s">
        <v>19</v>
      </c>
      <c r="E261" s="5" t="s">
        <v>14</v>
      </c>
      <c r="F261" t="s">
        <v>15</v>
      </c>
      <c r="G261" t="s">
        <v>15</v>
      </c>
      <c r="H261" s="5">
        <v>18</v>
      </c>
      <c r="I261" s="5" t="s">
        <v>16</v>
      </c>
      <c r="J261" s="5" t="s">
        <v>16</v>
      </c>
      <c r="K261" s="3">
        <v>37284</v>
      </c>
      <c r="L261" s="3">
        <v>42933</v>
      </c>
      <c r="M261" s="2">
        <f t="shared" si="17"/>
        <v>15.476712328767123</v>
      </c>
      <c r="N261" t="e">
        <f t="shared" si="18"/>
        <v>#VALUE!</v>
      </c>
      <c r="O261" t="s">
        <v>15</v>
      </c>
      <c r="P261" t="e">
        <f t="shared" si="19"/>
        <v>#VALUE!</v>
      </c>
      <c r="Q261" s="1" t="e">
        <f t="shared" si="21"/>
        <v>#VALUE!</v>
      </c>
    </row>
    <row r="262" spans="1:18" x14ac:dyDescent="0.25">
      <c r="A262" s="5" t="s">
        <v>206</v>
      </c>
      <c r="B262" t="s">
        <v>11</v>
      </c>
      <c r="C262" t="s">
        <v>20</v>
      </c>
      <c r="D262" t="s">
        <v>21</v>
      </c>
      <c r="E262" t="s">
        <v>14</v>
      </c>
      <c r="F262" t="s">
        <v>15</v>
      </c>
      <c r="G262" s="2" t="s">
        <v>15</v>
      </c>
      <c r="H262">
        <v>26</v>
      </c>
      <c r="I262" t="s">
        <v>17</v>
      </c>
      <c r="J262" t="s">
        <v>17</v>
      </c>
      <c r="K262" s="3">
        <v>35913</v>
      </c>
      <c r="L262" s="3">
        <v>42933</v>
      </c>
      <c r="M262" s="2">
        <f t="shared" si="17"/>
        <v>19.232876712328768</v>
      </c>
      <c r="N262" t="e">
        <f t="shared" si="18"/>
        <v>#VALUE!</v>
      </c>
      <c r="O262" t="s">
        <v>15</v>
      </c>
      <c r="P262" t="e">
        <f t="shared" si="19"/>
        <v>#VALUE!</v>
      </c>
      <c r="Q262" s="1" t="e">
        <f t="shared" si="21"/>
        <v>#VALUE!</v>
      </c>
    </row>
    <row r="263" spans="1:18" x14ac:dyDescent="0.25">
      <c r="A263" s="5" t="s">
        <v>206</v>
      </c>
      <c r="B263" t="s">
        <v>11</v>
      </c>
      <c r="C263" t="s">
        <v>25</v>
      </c>
      <c r="D263" t="s">
        <v>24</v>
      </c>
      <c r="E263" s="5" t="s">
        <v>14</v>
      </c>
      <c r="F263" t="s">
        <v>15</v>
      </c>
      <c r="G263" t="s">
        <v>15</v>
      </c>
      <c r="H263" s="6">
        <v>24</v>
      </c>
      <c r="I263" s="5" t="s">
        <v>31</v>
      </c>
      <c r="J263" s="5" t="s">
        <v>31</v>
      </c>
      <c r="K263" s="3">
        <v>36088</v>
      </c>
      <c r="L263" s="3">
        <v>42933</v>
      </c>
      <c r="M263" s="2">
        <f t="shared" si="17"/>
        <v>18.753424657534246</v>
      </c>
      <c r="N263" t="e">
        <f t="shared" si="18"/>
        <v>#VALUE!</v>
      </c>
      <c r="O263" t="s">
        <v>15</v>
      </c>
      <c r="P263" t="e">
        <f t="shared" si="19"/>
        <v>#VALUE!</v>
      </c>
      <c r="Q263" s="1" t="e">
        <f t="shared" si="21"/>
        <v>#VALUE!</v>
      </c>
    </row>
    <row r="264" spans="1:18" x14ac:dyDescent="0.25">
      <c r="A264" s="5" t="s">
        <v>206</v>
      </c>
      <c r="B264" t="s">
        <v>11</v>
      </c>
      <c r="C264" t="s">
        <v>26</v>
      </c>
      <c r="D264" t="s">
        <v>27</v>
      </c>
      <c r="E264" s="5" t="s">
        <v>14</v>
      </c>
      <c r="F264" t="s">
        <v>15</v>
      </c>
      <c r="G264" t="s">
        <v>15</v>
      </c>
      <c r="H264" s="5">
        <v>18</v>
      </c>
      <c r="I264" s="5" t="s">
        <v>33</v>
      </c>
      <c r="J264" s="5" t="s">
        <v>17</v>
      </c>
      <c r="K264" s="3">
        <v>37284</v>
      </c>
      <c r="L264" s="3">
        <v>42933</v>
      </c>
      <c r="M264" s="2">
        <f t="shared" ref="M264:M327" si="22">(L264-K264)/365</f>
        <v>15.476712328767123</v>
      </c>
      <c r="N264" t="e">
        <f t="shared" ref="N264:N327" si="23">G264*M264</f>
        <v>#VALUE!</v>
      </c>
      <c r="O264" t="s">
        <v>15</v>
      </c>
      <c r="P264" t="e">
        <f t="shared" ref="P264:P327" si="24">O264+N264</f>
        <v>#VALUE!</v>
      </c>
      <c r="Q264" s="1" t="e">
        <f t="shared" si="21"/>
        <v>#VALUE!</v>
      </c>
    </row>
    <row r="265" spans="1:18" x14ac:dyDescent="0.25">
      <c r="A265" t="s">
        <v>75</v>
      </c>
      <c r="B265" t="s">
        <v>11</v>
      </c>
      <c r="C265" t="s">
        <v>12</v>
      </c>
      <c r="D265" t="s">
        <v>13</v>
      </c>
      <c r="E265" t="s">
        <v>14</v>
      </c>
      <c r="F265" t="s">
        <v>23</v>
      </c>
      <c r="G265" t="s">
        <v>15</v>
      </c>
      <c r="H265">
        <v>31</v>
      </c>
      <c r="I265" t="s">
        <v>16</v>
      </c>
      <c r="J265" t="s">
        <v>16</v>
      </c>
      <c r="K265" s="3">
        <v>37746</v>
      </c>
      <c r="L265" s="3">
        <v>43900</v>
      </c>
      <c r="M265" s="2">
        <f t="shared" si="22"/>
        <v>16.860273972602741</v>
      </c>
      <c r="N265" t="e">
        <f t="shared" si="23"/>
        <v>#VALUE!</v>
      </c>
      <c r="O265" t="s">
        <v>15</v>
      </c>
      <c r="P265" t="e">
        <f t="shared" si="24"/>
        <v>#VALUE!</v>
      </c>
      <c r="Q265" s="1" t="e">
        <f t="shared" si="21"/>
        <v>#VALUE!</v>
      </c>
      <c r="R265" t="s">
        <v>133</v>
      </c>
    </row>
    <row r="266" spans="1:18" x14ac:dyDescent="0.25">
      <c r="A266" t="s">
        <v>75</v>
      </c>
      <c r="B266" t="s">
        <v>11</v>
      </c>
      <c r="C266" t="s">
        <v>296</v>
      </c>
      <c r="D266" t="s">
        <v>24</v>
      </c>
      <c r="E266" s="4" t="s">
        <v>38</v>
      </c>
      <c r="F266" t="s">
        <v>23</v>
      </c>
      <c r="G266">
        <v>6.6740000000000002E-3</v>
      </c>
      <c r="H266">
        <v>30</v>
      </c>
      <c r="I266" t="s">
        <v>16</v>
      </c>
      <c r="J266" t="s">
        <v>16</v>
      </c>
      <c r="K266" s="3">
        <v>36485</v>
      </c>
      <c r="L266" s="3">
        <v>43937</v>
      </c>
      <c r="M266" s="2">
        <f t="shared" si="22"/>
        <v>20.416438356164385</v>
      </c>
      <c r="N266">
        <f t="shared" si="23"/>
        <v>0.13625930958904112</v>
      </c>
      <c r="O266">
        <v>0.55000000000000004</v>
      </c>
      <c r="P266">
        <f t="shared" si="24"/>
        <v>0.68625930958904113</v>
      </c>
      <c r="Q266" s="1">
        <f>((P266-O266)/O266)</f>
        <v>0.24774419925280197</v>
      </c>
      <c r="R266" t="s">
        <v>162</v>
      </c>
    </row>
    <row r="267" spans="1:18" x14ac:dyDescent="0.25">
      <c r="A267" t="s">
        <v>75</v>
      </c>
      <c r="B267" t="s">
        <v>11</v>
      </c>
      <c r="C267" t="s">
        <v>18</v>
      </c>
      <c r="D267" t="s">
        <v>19</v>
      </c>
      <c r="E267" t="s">
        <v>14</v>
      </c>
      <c r="F267" t="s">
        <v>15</v>
      </c>
      <c r="G267" t="s">
        <v>15</v>
      </c>
      <c r="H267">
        <v>21</v>
      </c>
      <c r="I267" t="s">
        <v>31</v>
      </c>
      <c r="J267" t="s">
        <v>16</v>
      </c>
      <c r="K267" s="3">
        <v>40141</v>
      </c>
      <c r="L267" s="3">
        <v>43900</v>
      </c>
      <c r="M267" s="2">
        <f t="shared" si="22"/>
        <v>10.298630136986301</v>
      </c>
      <c r="N267" t="e">
        <f t="shared" si="23"/>
        <v>#VALUE!</v>
      </c>
      <c r="O267" t="s">
        <v>15</v>
      </c>
      <c r="P267" t="e">
        <f t="shared" si="24"/>
        <v>#VALUE!</v>
      </c>
      <c r="Q267" s="1" t="e">
        <f>((P267-O267)/P267)</f>
        <v>#VALUE!</v>
      </c>
    </row>
    <row r="268" spans="1:18" x14ac:dyDescent="0.25">
      <c r="A268" t="s">
        <v>75</v>
      </c>
      <c r="B268" t="s">
        <v>11</v>
      </c>
      <c r="C268" t="s">
        <v>20</v>
      </c>
      <c r="D268" t="s">
        <v>21</v>
      </c>
      <c r="E268" t="s">
        <v>22</v>
      </c>
      <c r="F268" t="s">
        <v>23</v>
      </c>
      <c r="G268" s="2">
        <v>1.1779999999999999</v>
      </c>
      <c r="H268">
        <v>33</v>
      </c>
      <c r="I268" t="s">
        <v>16</v>
      </c>
      <c r="J268" t="s">
        <v>17</v>
      </c>
      <c r="K268" s="3">
        <v>36485</v>
      </c>
      <c r="L268" s="3">
        <v>43900</v>
      </c>
      <c r="M268" s="2">
        <f t="shared" si="22"/>
        <v>20.315068493150687</v>
      </c>
      <c r="N268">
        <f t="shared" si="23"/>
        <v>23.931150684931506</v>
      </c>
      <c r="O268">
        <v>45</v>
      </c>
      <c r="P268">
        <f t="shared" si="24"/>
        <v>68.931150684931509</v>
      </c>
      <c r="Q268" s="1">
        <f>((P268-O268)/O268)</f>
        <v>0.53180334855403355</v>
      </c>
      <c r="R268" t="s">
        <v>142</v>
      </c>
    </row>
    <row r="269" spans="1:18" x14ac:dyDescent="0.25">
      <c r="A269" t="s">
        <v>75</v>
      </c>
      <c r="B269" t="s">
        <v>11</v>
      </c>
      <c r="C269" t="s">
        <v>25</v>
      </c>
      <c r="D269" t="s">
        <v>24</v>
      </c>
      <c r="E269" t="s">
        <v>14</v>
      </c>
      <c r="F269" t="s">
        <v>15</v>
      </c>
      <c r="G269" t="s">
        <v>15</v>
      </c>
      <c r="H269">
        <v>35</v>
      </c>
      <c r="I269" t="s">
        <v>16</v>
      </c>
      <c r="J269" t="s">
        <v>17</v>
      </c>
      <c r="K269" s="3">
        <v>36485</v>
      </c>
      <c r="L269" s="3">
        <v>43900</v>
      </c>
      <c r="M269" s="2">
        <f t="shared" si="22"/>
        <v>20.315068493150687</v>
      </c>
      <c r="N269" t="e">
        <f t="shared" si="23"/>
        <v>#VALUE!</v>
      </c>
      <c r="O269" t="s">
        <v>15</v>
      </c>
      <c r="P269" t="e">
        <f t="shared" si="24"/>
        <v>#VALUE!</v>
      </c>
      <c r="Q269" s="1" t="e">
        <f>((P269-O269)/P269)</f>
        <v>#VALUE!</v>
      </c>
    </row>
    <row r="270" spans="1:18" x14ac:dyDescent="0.25">
      <c r="A270" t="s">
        <v>75</v>
      </c>
      <c r="B270" t="s">
        <v>11</v>
      </c>
      <c r="C270" t="s">
        <v>26</v>
      </c>
      <c r="D270" t="s">
        <v>27</v>
      </c>
      <c r="E270" t="s">
        <v>14</v>
      </c>
      <c r="F270" t="s">
        <v>15</v>
      </c>
      <c r="G270" t="s">
        <v>15</v>
      </c>
      <c r="H270">
        <v>25</v>
      </c>
      <c r="I270" t="s">
        <v>16</v>
      </c>
      <c r="J270" t="s">
        <v>31</v>
      </c>
      <c r="K270" s="3">
        <v>38299</v>
      </c>
      <c r="L270" s="3">
        <v>43900</v>
      </c>
      <c r="M270" s="2">
        <f t="shared" si="22"/>
        <v>15.345205479452055</v>
      </c>
      <c r="N270" t="e">
        <f t="shared" si="23"/>
        <v>#VALUE!</v>
      </c>
      <c r="O270" t="s">
        <v>15</v>
      </c>
      <c r="P270" t="e">
        <f t="shared" si="24"/>
        <v>#VALUE!</v>
      </c>
      <c r="Q270" s="1" t="e">
        <f>((P270-O270)/P270)</f>
        <v>#VALUE!</v>
      </c>
    </row>
    <row r="271" spans="1:18" x14ac:dyDescent="0.25">
      <c r="A271" t="s">
        <v>76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15</v>
      </c>
      <c r="H271">
        <v>30</v>
      </c>
      <c r="I271" t="s">
        <v>16</v>
      </c>
      <c r="J271" t="s">
        <v>17</v>
      </c>
      <c r="K271" s="3">
        <v>37788</v>
      </c>
      <c r="L271" s="3">
        <v>43689</v>
      </c>
      <c r="M271" s="2">
        <f t="shared" si="22"/>
        <v>16.167123287671235</v>
      </c>
      <c r="N271" t="e">
        <f t="shared" si="23"/>
        <v>#VALUE!</v>
      </c>
      <c r="O271" t="s">
        <v>15</v>
      </c>
      <c r="P271" t="e">
        <f t="shared" si="24"/>
        <v>#VALUE!</v>
      </c>
      <c r="Q271" s="1" t="e">
        <f>((P271-O271)/P271)</f>
        <v>#VALUE!</v>
      </c>
    </row>
    <row r="272" spans="1:18" x14ac:dyDescent="0.25">
      <c r="A272" t="s">
        <v>76</v>
      </c>
      <c r="B272" t="s">
        <v>11</v>
      </c>
      <c r="C272" t="s">
        <v>296</v>
      </c>
      <c r="D272" t="s">
        <v>24</v>
      </c>
      <c r="E272" s="5" t="s">
        <v>38</v>
      </c>
      <c r="F272" t="s">
        <v>23</v>
      </c>
      <c r="G272">
        <v>9.0170000000000007E-3</v>
      </c>
      <c r="H272">
        <v>30</v>
      </c>
      <c r="I272" t="s">
        <v>16</v>
      </c>
      <c r="J272" t="s">
        <v>17</v>
      </c>
      <c r="K272" s="3">
        <v>36450</v>
      </c>
      <c r="L272" s="3">
        <v>43725</v>
      </c>
      <c r="M272" s="2">
        <f t="shared" si="22"/>
        <v>19.931506849315067</v>
      </c>
      <c r="N272">
        <f t="shared" si="23"/>
        <v>0.17972239726027397</v>
      </c>
      <c r="O272">
        <v>0.65</v>
      </c>
      <c r="P272">
        <f t="shared" si="24"/>
        <v>0.82972239726027397</v>
      </c>
      <c r="Q272" s="1">
        <f>((P272-O272)/O272)</f>
        <v>0.27649599578503681</v>
      </c>
      <c r="R272" t="s">
        <v>144</v>
      </c>
    </row>
    <row r="273" spans="1:18" x14ac:dyDescent="0.25">
      <c r="A273" t="s">
        <v>76</v>
      </c>
      <c r="B273" t="s">
        <v>11</v>
      </c>
      <c r="C273" t="s">
        <v>18</v>
      </c>
      <c r="D273" t="s">
        <v>19</v>
      </c>
      <c r="E273" t="s">
        <v>14</v>
      </c>
      <c r="F273" t="s">
        <v>15</v>
      </c>
      <c r="G273" t="s">
        <v>15</v>
      </c>
      <c r="H273">
        <v>20</v>
      </c>
      <c r="I273" t="s">
        <v>16</v>
      </c>
      <c r="J273" t="s">
        <v>31</v>
      </c>
      <c r="K273" s="3">
        <v>40849</v>
      </c>
      <c r="L273" s="3">
        <v>47342</v>
      </c>
      <c r="M273" s="2">
        <f t="shared" si="22"/>
        <v>17.789041095890411</v>
      </c>
      <c r="N273" t="e">
        <f t="shared" si="23"/>
        <v>#VALUE!</v>
      </c>
      <c r="O273" t="s">
        <v>15</v>
      </c>
      <c r="P273" t="e">
        <f t="shared" si="24"/>
        <v>#VALUE!</v>
      </c>
      <c r="Q273" s="1" t="e">
        <f t="shared" ref="Q273:Q279" si="25">((P273-O273)/P273)</f>
        <v>#VALUE!</v>
      </c>
    </row>
    <row r="274" spans="1:18" x14ac:dyDescent="0.25">
      <c r="A274" t="s">
        <v>76</v>
      </c>
      <c r="B274" t="s">
        <v>11</v>
      </c>
      <c r="C274" t="s">
        <v>20</v>
      </c>
      <c r="D274" t="s">
        <v>21</v>
      </c>
      <c r="E274" t="s">
        <v>14</v>
      </c>
      <c r="F274" t="s">
        <v>15</v>
      </c>
      <c r="G274" s="2" t="s">
        <v>15</v>
      </c>
      <c r="H274">
        <v>31</v>
      </c>
      <c r="I274" t="s">
        <v>16</v>
      </c>
      <c r="J274" t="s">
        <v>17</v>
      </c>
      <c r="K274" s="3">
        <v>36450</v>
      </c>
      <c r="L274" s="3">
        <v>43689</v>
      </c>
      <c r="M274" s="2">
        <f t="shared" si="22"/>
        <v>19.832876712328765</v>
      </c>
      <c r="N274" t="e">
        <f t="shared" si="23"/>
        <v>#VALUE!</v>
      </c>
      <c r="O274" t="s">
        <v>15</v>
      </c>
      <c r="P274" t="e">
        <f t="shared" si="24"/>
        <v>#VALUE!</v>
      </c>
      <c r="Q274" s="1" t="e">
        <f t="shared" si="25"/>
        <v>#VALUE!</v>
      </c>
    </row>
    <row r="275" spans="1:18" x14ac:dyDescent="0.25">
      <c r="A275" t="s">
        <v>76</v>
      </c>
      <c r="B275" t="s">
        <v>11</v>
      </c>
      <c r="C275" t="s">
        <v>25</v>
      </c>
      <c r="D275" t="s">
        <v>24</v>
      </c>
      <c r="E275" t="s">
        <v>14</v>
      </c>
      <c r="F275" t="s">
        <v>15</v>
      </c>
      <c r="G275" t="s">
        <v>15</v>
      </c>
      <c r="H275">
        <v>33</v>
      </c>
      <c r="I275" t="s">
        <v>17</v>
      </c>
      <c r="J275" t="s">
        <v>17</v>
      </c>
      <c r="K275" s="3">
        <v>36450</v>
      </c>
      <c r="L275" s="3">
        <v>43689</v>
      </c>
      <c r="M275" s="2">
        <f t="shared" si="22"/>
        <v>19.832876712328765</v>
      </c>
      <c r="N275" t="e">
        <f t="shared" si="23"/>
        <v>#VALUE!</v>
      </c>
      <c r="O275" t="s">
        <v>15</v>
      </c>
      <c r="P275" t="e">
        <f t="shared" si="24"/>
        <v>#VALUE!</v>
      </c>
      <c r="Q275" s="1" t="e">
        <f t="shared" si="25"/>
        <v>#VALUE!</v>
      </c>
    </row>
    <row r="276" spans="1:18" x14ac:dyDescent="0.25">
      <c r="A276" t="s">
        <v>76</v>
      </c>
      <c r="B276" t="s">
        <v>11</v>
      </c>
      <c r="C276" t="s">
        <v>26</v>
      </c>
      <c r="D276" t="s">
        <v>27</v>
      </c>
      <c r="E276" t="s">
        <v>14</v>
      </c>
      <c r="F276" t="s">
        <v>15</v>
      </c>
      <c r="G276" t="s">
        <v>15</v>
      </c>
      <c r="H276">
        <v>24</v>
      </c>
      <c r="I276" t="s">
        <v>17</v>
      </c>
      <c r="J276" t="s">
        <v>17</v>
      </c>
      <c r="K276" s="3">
        <v>38285</v>
      </c>
      <c r="L276" s="3">
        <v>43689</v>
      </c>
      <c r="M276" s="2">
        <f t="shared" si="22"/>
        <v>14.805479452054794</v>
      </c>
      <c r="N276" t="e">
        <f t="shared" si="23"/>
        <v>#VALUE!</v>
      </c>
      <c r="O276" t="s">
        <v>15</v>
      </c>
      <c r="P276" t="e">
        <f t="shared" si="24"/>
        <v>#VALUE!</v>
      </c>
      <c r="Q276" s="1" t="e">
        <f t="shared" si="25"/>
        <v>#VALUE!</v>
      </c>
    </row>
    <row r="277" spans="1:18" x14ac:dyDescent="0.25">
      <c r="A277" t="s">
        <v>77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15</v>
      </c>
      <c r="H277">
        <v>30</v>
      </c>
      <c r="I277" t="s">
        <v>16</v>
      </c>
      <c r="J277" t="s">
        <v>17</v>
      </c>
      <c r="K277" s="3">
        <v>37580</v>
      </c>
      <c r="L277" s="3">
        <v>43655</v>
      </c>
      <c r="M277" s="2">
        <f t="shared" si="22"/>
        <v>16.643835616438356</v>
      </c>
      <c r="N277" t="e">
        <f t="shared" si="23"/>
        <v>#VALUE!</v>
      </c>
      <c r="O277" t="s">
        <v>15</v>
      </c>
      <c r="P277" t="e">
        <f t="shared" si="24"/>
        <v>#VALUE!</v>
      </c>
      <c r="Q277" s="1" t="e">
        <f t="shared" si="25"/>
        <v>#VALUE!</v>
      </c>
    </row>
    <row r="278" spans="1:18" x14ac:dyDescent="0.25">
      <c r="A278" t="s">
        <v>77</v>
      </c>
      <c r="B278" t="s">
        <v>11</v>
      </c>
      <c r="C278" t="s">
        <v>296</v>
      </c>
      <c r="D278" t="s">
        <v>24</v>
      </c>
      <c r="E278" t="s">
        <v>14</v>
      </c>
      <c r="F278" t="s">
        <v>15</v>
      </c>
      <c r="G278" t="s">
        <v>15</v>
      </c>
      <c r="H278">
        <v>37</v>
      </c>
      <c r="I278" t="s">
        <v>33</v>
      </c>
      <c r="J278" t="s">
        <v>17</v>
      </c>
      <c r="K278" s="3">
        <v>36836</v>
      </c>
      <c r="L278" s="3">
        <v>43655</v>
      </c>
      <c r="M278" s="2">
        <f t="shared" si="22"/>
        <v>18.682191780821917</v>
      </c>
      <c r="N278" t="e">
        <f t="shared" si="23"/>
        <v>#VALUE!</v>
      </c>
      <c r="O278" t="s">
        <v>15</v>
      </c>
      <c r="P278" t="e">
        <f t="shared" si="24"/>
        <v>#VALUE!</v>
      </c>
      <c r="Q278" s="1" t="e">
        <f t="shared" si="25"/>
        <v>#VALUE!</v>
      </c>
    </row>
    <row r="279" spans="1:18" x14ac:dyDescent="0.25">
      <c r="A279" t="s">
        <v>77</v>
      </c>
      <c r="B279" t="s">
        <v>11</v>
      </c>
      <c r="C279" t="s">
        <v>18</v>
      </c>
      <c r="D279" t="s">
        <v>19</v>
      </c>
      <c r="E279" t="s">
        <v>14</v>
      </c>
      <c r="F279" t="s">
        <v>15</v>
      </c>
      <c r="G279" t="s">
        <v>15</v>
      </c>
      <c r="H279">
        <v>22</v>
      </c>
      <c r="I279" t="s">
        <v>17</v>
      </c>
      <c r="J279" t="s">
        <v>33</v>
      </c>
      <c r="K279" s="3">
        <v>36836</v>
      </c>
      <c r="L279" s="3">
        <v>43655</v>
      </c>
      <c r="M279" s="2">
        <f t="shared" si="22"/>
        <v>18.682191780821917</v>
      </c>
      <c r="N279" t="e">
        <f t="shared" si="23"/>
        <v>#VALUE!</v>
      </c>
      <c r="O279" t="s">
        <v>15</v>
      </c>
      <c r="P279" t="e">
        <f t="shared" si="24"/>
        <v>#VALUE!</v>
      </c>
      <c r="Q279" s="1" t="e">
        <f t="shared" si="25"/>
        <v>#VALUE!</v>
      </c>
      <c r="R279" t="s">
        <v>165</v>
      </c>
    </row>
    <row r="280" spans="1:18" x14ac:dyDescent="0.25">
      <c r="A280" t="s">
        <v>77</v>
      </c>
      <c r="B280" t="s">
        <v>11</v>
      </c>
      <c r="C280" t="s">
        <v>20</v>
      </c>
      <c r="D280" t="s">
        <v>21</v>
      </c>
      <c r="E280" t="s">
        <v>22</v>
      </c>
      <c r="F280" t="s">
        <v>23</v>
      </c>
      <c r="G280" s="2">
        <v>6.1280000000000001</v>
      </c>
      <c r="H280">
        <v>40</v>
      </c>
      <c r="I280" t="s">
        <v>16</v>
      </c>
      <c r="J280" t="s">
        <v>16</v>
      </c>
      <c r="K280" s="3">
        <v>36836</v>
      </c>
      <c r="L280" s="3">
        <v>45257</v>
      </c>
      <c r="M280" s="2">
        <f t="shared" si="22"/>
        <v>23.07123287671233</v>
      </c>
      <c r="N280">
        <f t="shared" si="23"/>
        <v>141.38051506849317</v>
      </c>
      <c r="O280">
        <v>550</v>
      </c>
      <c r="P280">
        <f t="shared" si="24"/>
        <v>691.3805150684932</v>
      </c>
      <c r="Q280" s="1">
        <f>((P280-O280)/O280)</f>
        <v>0.25705548194271488</v>
      </c>
      <c r="R280" t="s">
        <v>142</v>
      </c>
    </row>
    <row r="281" spans="1:18" x14ac:dyDescent="0.25">
      <c r="A281" t="s">
        <v>77</v>
      </c>
      <c r="B281" t="s">
        <v>11</v>
      </c>
      <c r="C281" t="s">
        <v>25</v>
      </c>
      <c r="D281" t="s">
        <v>24</v>
      </c>
      <c r="E281" s="4" t="s">
        <v>28</v>
      </c>
      <c r="F281" t="s">
        <v>29</v>
      </c>
      <c r="G281">
        <v>-5.1599999999999997E-4</v>
      </c>
      <c r="H281">
        <v>35</v>
      </c>
      <c r="I281" t="s">
        <v>16</v>
      </c>
      <c r="J281" t="s">
        <v>16</v>
      </c>
      <c r="K281" s="3">
        <v>36836</v>
      </c>
      <c r="L281" s="3">
        <v>43655</v>
      </c>
      <c r="M281" s="2">
        <f t="shared" si="22"/>
        <v>18.682191780821917</v>
      </c>
      <c r="N281">
        <f t="shared" si="23"/>
        <v>-9.6400109589041081E-3</v>
      </c>
      <c r="O281">
        <v>0.05</v>
      </c>
      <c r="P281">
        <f t="shared" si="24"/>
        <v>4.0359989041095896E-2</v>
      </c>
      <c r="Q281" s="1">
        <f>((P281-O281)/O281)</f>
        <v>-0.19280021917808213</v>
      </c>
      <c r="R281" t="s">
        <v>174</v>
      </c>
    </row>
    <row r="282" spans="1:18" x14ac:dyDescent="0.25">
      <c r="A282" t="s">
        <v>77</v>
      </c>
      <c r="B282" t="s">
        <v>11</v>
      </c>
      <c r="C282" t="s">
        <v>26</v>
      </c>
      <c r="D282" t="s">
        <v>27</v>
      </c>
      <c r="E282" s="4" t="s">
        <v>34</v>
      </c>
      <c r="F282" t="s">
        <v>29</v>
      </c>
      <c r="G282">
        <v>-0.14929999999999999</v>
      </c>
      <c r="H282">
        <v>30</v>
      </c>
      <c r="I282" t="s">
        <v>31</v>
      </c>
      <c r="J282" t="s">
        <v>17</v>
      </c>
      <c r="K282" s="3">
        <v>36836</v>
      </c>
      <c r="L282" s="3">
        <v>43655</v>
      </c>
      <c r="M282" s="2">
        <f t="shared" si="22"/>
        <v>18.682191780821917</v>
      </c>
      <c r="N282">
        <f t="shared" si="23"/>
        <v>-2.7892512328767118</v>
      </c>
      <c r="O282">
        <v>11</v>
      </c>
      <c r="P282">
        <f t="shared" si="24"/>
        <v>8.2107487671232882</v>
      </c>
      <c r="Q282" s="1">
        <f>((P282-O282)/O282)</f>
        <v>-0.25356829389788288</v>
      </c>
      <c r="R282" t="s">
        <v>156</v>
      </c>
    </row>
    <row r="283" spans="1:18" x14ac:dyDescent="0.25">
      <c r="A283" t="s">
        <v>292</v>
      </c>
      <c r="B283" t="s">
        <v>11</v>
      </c>
      <c r="C283" t="s">
        <v>12</v>
      </c>
      <c r="D283" t="s">
        <v>13</v>
      </c>
      <c r="E283" s="5" t="s">
        <v>38</v>
      </c>
      <c r="F283" t="s">
        <v>15</v>
      </c>
      <c r="G283">
        <v>0.64790000000000003</v>
      </c>
      <c r="H283">
        <v>18</v>
      </c>
      <c r="I283" t="s">
        <v>16</v>
      </c>
      <c r="J283" t="s">
        <v>17</v>
      </c>
      <c r="K283" s="3">
        <v>37586</v>
      </c>
      <c r="L283" s="3">
        <v>43009</v>
      </c>
      <c r="M283" s="2">
        <f t="shared" si="22"/>
        <v>14.857534246575343</v>
      </c>
      <c r="N283">
        <f t="shared" si="23"/>
        <v>9.6261964383561658</v>
      </c>
      <c r="O283">
        <v>9</v>
      </c>
      <c r="P283">
        <f t="shared" si="24"/>
        <v>18.626196438356168</v>
      </c>
      <c r="Q283" s="1">
        <f>((P283-O283)/O283)</f>
        <v>1.0695773820395742</v>
      </c>
      <c r="R283" t="s">
        <v>141</v>
      </c>
    </row>
    <row r="284" spans="1:18" x14ac:dyDescent="0.25">
      <c r="A284" t="s">
        <v>292</v>
      </c>
      <c r="B284" t="s">
        <v>11</v>
      </c>
      <c r="C284" t="s">
        <v>296</v>
      </c>
      <c r="D284" t="s">
        <v>24</v>
      </c>
      <c r="E284" s="4" t="s">
        <v>22</v>
      </c>
      <c r="F284" t="s">
        <v>23</v>
      </c>
      <c r="G284">
        <v>3.0700000000000002E-2</v>
      </c>
      <c r="H284">
        <v>23</v>
      </c>
      <c r="I284" t="s">
        <v>16</v>
      </c>
      <c r="J284" t="s">
        <v>17</v>
      </c>
      <c r="K284" s="3">
        <v>36850</v>
      </c>
      <c r="L284" s="3">
        <v>42983</v>
      </c>
      <c r="M284" s="2">
        <f t="shared" si="22"/>
        <v>16.802739726027397</v>
      </c>
      <c r="N284">
        <f t="shared" si="23"/>
        <v>0.51584410958904114</v>
      </c>
      <c r="O284">
        <v>0.5</v>
      </c>
      <c r="P284">
        <f t="shared" si="24"/>
        <v>1.0158441095890411</v>
      </c>
      <c r="Q284" s="1">
        <f>((P284-O284)/O284)</f>
        <v>1.0316882191780823</v>
      </c>
      <c r="R284" t="s">
        <v>162</v>
      </c>
    </row>
    <row r="285" spans="1:18" x14ac:dyDescent="0.25">
      <c r="A285" t="s">
        <v>292</v>
      </c>
      <c r="B285" t="s">
        <v>11</v>
      </c>
      <c r="C285" t="s">
        <v>18</v>
      </c>
      <c r="D285" t="s">
        <v>19</v>
      </c>
      <c r="E285" t="s">
        <v>186</v>
      </c>
      <c r="F285" t="s">
        <v>15</v>
      </c>
      <c r="G285" t="s">
        <v>15</v>
      </c>
      <c r="H285">
        <v>14</v>
      </c>
      <c r="I285" t="s">
        <v>17</v>
      </c>
      <c r="J285" t="s">
        <v>16</v>
      </c>
      <c r="M285" s="2">
        <f t="shared" si="22"/>
        <v>0</v>
      </c>
      <c r="N285" t="e">
        <f t="shared" si="23"/>
        <v>#VALUE!</v>
      </c>
      <c r="O285" t="s">
        <v>15</v>
      </c>
      <c r="P285" t="e">
        <f t="shared" si="24"/>
        <v>#VALUE!</v>
      </c>
      <c r="Q285" s="1" t="e">
        <f t="shared" ref="Q285:Q291" si="26">((P285-O285)/P285)</f>
        <v>#VALUE!</v>
      </c>
      <c r="R285" t="s">
        <v>203</v>
      </c>
    </row>
    <row r="286" spans="1:18" x14ac:dyDescent="0.25">
      <c r="A286" t="s">
        <v>292</v>
      </c>
      <c r="B286" t="s">
        <v>11</v>
      </c>
      <c r="C286" t="s">
        <v>20</v>
      </c>
      <c r="D286" t="s">
        <v>21</v>
      </c>
      <c r="E286" t="s">
        <v>14</v>
      </c>
      <c r="F286" t="s">
        <v>15</v>
      </c>
      <c r="G286" s="2" t="s">
        <v>15</v>
      </c>
      <c r="H286">
        <v>24</v>
      </c>
      <c r="I286" t="s">
        <v>16</v>
      </c>
      <c r="J286" t="s">
        <v>17</v>
      </c>
      <c r="K286" s="3">
        <v>36850</v>
      </c>
      <c r="L286" s="3">
        <v>42983</v>
      </c>
      <c r="M286" s="2">
        <f t="shared" si="22"/>
        <v>16.802739726027397</v>
      </c>
      <c r="N286" t="e">
        <f t="shared" si="23"/>
        <v>#VALUE!</v>
      </c>
      <c r="O286" t="s">
        <v>15</v>
      </c>
      <c r="P286" t="e">
        <f t="shared" si="24"/>
        <v>#VALUE!</v>
      </c>
      <c r="Q286" s="1" t="e">
        <f t="shared" si="26"/>
        <v>#VALUE!</v>
      </c>
      <c r="R286" t="s">
        <v>195</v>
      </c>
    </row>
    <row r="287" spans="1:18" x14ac:dyDescent="0.25">
      <c r="A287" t="s">
        <v>292</v>
      </c>
      <c r="B287" t="s">
        <v>11</v>
      </c>
      <c r="C287" t="s">
        <v>25</v>
      </c>
      <c r="D287" t="s">
        <v>24</v>
      </c>
      <c r="E287" t="s">
        <v>14</v>
      </c>
      <c r="F287" t="s">
        <v>15</v>
      </c>
      <c r="G287" t="s">
        <v>15</v>
      </c>
      <c r="H287">
        <v>23</v>
      </c>
      <c r="I287" t="s">
        <v>16</v>
      </c>
      <c r="J287" t="s">
        <v>16</v>
      </c>
      <c r="K287" s="3">
        <v>36850</v>
      </c>
      <c r="L287" s="3">
        <v>42983</v>
      </c>
      <c r="M287" s="2">
        <f t="shared" si="22"/>
        <v>16.802739726027397</v>
      </c>
      <c r="N287" t="e">
        <f t="shared" si="23"/>
        <v>#VALUE!</v>
      </c>
      <c r="O287" t="s">
        <v>15</v>
      </c>
      <c r="P287" t="e">
        <f t="shared" si="24"/>
        <v>#VALUE!</v>
      </c>
      <c r="Q287" s="1" t="e">
        <f t="shared" si="26"/>
        <v>#VALUE!</v>
      </c>
      <c r="R287" t="s">
        <v>171</v>
      </c>
    </row>
    <row r="288" spans="1:18" x14ac:dyDescent="0.25">
      <c r="A288" t="s">
        <v>292</v>
      </c>
      <c r="B288" t="s">
        <v>11</v>
      </c>
      <c r="C288" t="s">
        <v>26</v>
      </c>
      <c r="D288" t="s">
        <v>27</v>
      </c>
      <c r="E288" t="s">
        <v>14</v>
      </c>
      <c r="F288" t="s">
        <v>15</v>
      </c>
      <c r="G288" t="s">
        <v>15</v>
      </c>
      <c r="H288">
        <v>20</v>
      </c>
      <c r="I288" t="s">
        <v>17</v>
      </c>
      <c r="J288" t="s">
        <v>17</v>
      </c>
      <c r="K288" s="3">
        <v>36850</v>
      </c>
      <c r="L288" s="3">
        <v>42983</v>
      </c>
      <c r="M288" s="2">
        <f t="shared" si="22"/>
        <v>16.802739726027397</v>
      </c>
      <c r="N288" t="e">
        <f t="shared" si="23"/>
        <v>#VALUE!</v>
      </c>
      <c r="O288" t="s">
        <v>15</v>
      </c>
      <c r="P288" t="e">
        <f t="shared" si="24"/>
        <v>#VALUE!</v>
      </c>
      <c r="Q288" s="1" t="e">
        <f t="shared" si="26"/>
        <v>#VALUE!</v>
      </c>
      <c r="R288" t="s">
        <v>195</v>
      </c>
    </row>
    <row r="289" spans="1:18" x14ac:dyDescent="0.25">
      <c r="A289" t="s">
        <v>304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15</v>
      </c>
      <c r="H289">
        <v>15</v>
      </c>
      <c r="I289" t="s">
        <v>16</v>
      </c>
      <c r="J289" t="s">
        <v>17</v>
      </c>
      <c r="K289" s="3">
        <v>37879</v>
      </c>
      <c r="L289" s="3">
        <v>42955</v>
      </c>
      <c r="M289" s="2">
        <f t="shared" si="22"/>
        <v>13.906849315068493</v>
      </c>
      <c r="N289" t="e">
        <f t="shared" si="23"/>
        <v>#VALUE!</v>
      </c>
      <c r="O289" t="s">
        <v>15</v>
      </c>
      <c r="P289" t="e">
        <f t="shared" si="24"/>
        <v>#VALUE!</v>
      </c>
      <c r="Q289" s="1" t="e">
        <f t="shared" si="26"/>
        <v>#VALUE!</v>
      </c>
    </row>
    <row r="290" spans="1:18" x14ac:dyDescent="0.25">
      <c r="A290" t="s">
        <v>304</v>
      </c>
      <c r="B290" t="s">
        <v>11</v>
      </c>
      <c r="C290" t="s">
        <v>296</v>
      </c>
      <c r="D290" t="s">
        <v>24</v>
      </c>
      <c r="E290" t="s">
        <v>14</v>
      </c>
      <c r="F290" t="s">
        <v>15</v>
      </c>
      <c r="G290" t="s">
        <v>15</v>
      </c>
      <c r="H290">
        <v>25</v>
      </c>
      <c r="I290" t="s">
        <v>16</v>
      </c>
      <c r="J290" t="s">
        <v>17</v>
      </c>
      <c r="K290" s="3">
        <v>35920</v>
      </c>
      <c r="L290" s="3">
        <v>42955</v>
      </c>
      <c r="M290" s="2">
        <f t="shared" si="22"/>
        <v>19.273972602739725</v>
      </c>
      <c r="N290" t="e">
        <f t="shared" si="23"/>
        <v>#VALUE!</v>
      </c>
      <c r="O290" t="s">
        <v>15</v>
      </c>
      <c r="P290" t="e">
        <f t="shared" si="24"/>
        <v>#VALUE!</v>
      </c>
      <c r="Q290" s="1" t="e">
        <f t="shared" si="26"/>
        <v>#VALUE!</v>
      </c>
    </row>
    <row r="291" spans="1:18" x14ac:dyDescent="0.25">
      <c r="A291" t="s">
        <v>304</v>
      </c>
      <c r="B291" t="s">
        <v>11</v>
      </c>
      <c r="C291" t="s">
        <v>18</v>
      </c>
      <c r="D291" t="s">
        <v>19</v>
      </c>
      <c r="E291" t="s">
        <v>186</v>
      </c>
      <c r="F291" t="s">
        <v>15</v>
      </c>
      <c r="G291" t="s">
        <v>15</v>
      </c>
      <c r="H291">
        <v>14</v>
      </c>
      <c r="I291" t="s">
        <v>16</v>
      </c>
      <c r="J291" t="s">
        <v>16</v>
      </c>
      <c r="M291" s="2">
        <f t="shared" si="22"/>
        <v>0</v>
      </c>
      <c r="N291" t="e">
        <f t="shared" si="23"/>
        <v>#VALUE!</v>
      </c>
      <c r="O291" t="s">
        <v>15</v>
      </c>
      <c r="P291" t="e">
        <f t="shared" si="24"/>
        <v>#VALUE!</v>
      </c>
      <c r="Q291" s="1" t="e">
        <f t="shared" si="26"/>
        <v>#VALUE!</v>
      </c>
      <c r="R291" t="s">
        <v>203</v>
      </c>
    </row>
    <row r="292" spans="1:18" x14ac:dyDescent="0.25">
      <c r="A292" t="s">
        <v>304</v>
      </c>
      <c r="B292" t="s">
        <v>11</v>
      </c>
      <c r="C292" t="s">
        <v>20</v>
      </c>
      <c r="D292" t="s">
        <v>21</v>
      </c>
      <c r="E292" t="s">
        <v>22</v>
      </c>
      <c r="F292" t="s">
        <v>23</v>
      </c>
      <c r="G292" s="2">
        <v>2.798</v>
      </c>
      <c r="H292">
        <v>22</v>
      </c>
      <c r="I292" t="s">
        <v>16</v>
      </c>
      <c r="J292" t="s">
        <v>33</v>
      </c>
      <c r="K292" s="3">
        <v>35920</v>
      </c>
      <c r="L292" s="3">
        <v>42955</v>
      </c>
      <c r="M292" s="2">
        <f t="shared" si="22"/>
        <v>19.273972602739725</v>
      </c>
      <c r="N292">
        <f t="shared" si="23"/>
        <v>53.928575342465756</v>
      </c>
      <c r="O292">
        <v>45</v>
      </c>
      <c r="P292">
        <f t="shared" si="24"/>
        <v>98.928575342465763</v>
      </c>
      <c r="Q292" s="1">
        <f>((P292-O292)/O292)</f>
        <v>1.1984127853881281</v>
      </c>
      <c r="R292" t="s">
        <v>142</v>
      </c>
    </row>
    <row r="293" spans="1:18" x14ac:dyDescent="0.25">
      <c r="A293" t="s">
        <v>304</v>
      </c>
      <c r="B293" t="s">
        <v>11</v>
      </c>
      <c r="C293" t="s">
        <v>25</v>
      </c>
      <c r="D293" t="s">
        <v>24</v>
      </c>
      <c r="E293" t="s">
        <v>14</v>
      </c>
      <c r="F293" t="s">
        <v>15</v>
      </c>
      <c r="G293" t="s">
        <v>15</v>
      </c>
      <c r="H293">
        <v>25</v>
      </c>
      <c r="I293" t="s">
        <v>16</v>
      </c>
      <c r="J293" t="s">
        <v>17</v>
      </c>
      <c r="K293" s="3">
        <v>35920</v>
      </c>
      <c r="L293" s="3">
        <v>42955</v>
      </c>
      <c r="M293" s="2">
        <f t="shared" si="22"/>
        <v>19.273972602739725</v>
      </c>
      <c r="N293" t="e">
        <f t="shared" si="23"/>
        <v>#VALUE!</v>
      </c>
      <c r="O293" t="s">
        <v>15</v>
      </c>
      <c r="P293" t="e">
        <f t="shared" si="24"/>
        <v>#VALUE!</v>
      </c>
      <c r="Q293" s="1" t="e">
        <f t="shared" ref="Q293:Q299" si="27">((P293-O293)/P293)</f>
        <v>#VALUE!</v>
      </c>
    </row>
    <row r="294" spans="1:18" x14ac:dyDescent="0.25">
      <c r="A294" t="s">
        <v>304</v>
      </c>
      <c r="B294" t="s">
        <v>11</v>
      </c>
      <c r="C294" t="s">
        <v>26</v>
      </c>
      <c r="D294" t="s">
        <v>27</v>
      </c>
      <c r="E294" s="4" t="s">
        <v>186</v>
      </c>
      <c r="F294" t="s">
        <v>15</v>
      </c>
      <c r="G294" t="s">
        <v>15</v>
      </c>
      <c r="H294">
        <v>15</v>
      </c>
      <c r="I294" t="s">
        <v>16</v>
      </c>
      <c r="J294" t="s">
        <v>17</v>
      </c>
      <c r="K294"/>
      <c r="L294"/>
      <c r="M294" s="2">
        <f t="shared" si="22"/>
        <v>0</v>
      </c>
      <c r="N294" t="e">
        <f t="shared" si="23"/>
        <v>#VALUE!</v>
      </c>
      <c r="O294" t="s">
        <v>15</v>
      </c>
      <c r="P294" t="e">
        <f t="shared" si="24"/>
        <v>#VALUE!</v>
      </c>
      <c r="Q294" s="1" t="e">
        <f t="shared" si="27"/>
        <v>#VALUE!</v>
      </c>
      <c r="R294" t="s">
        <v>183</v>
      </c>
    </row>
    <row r="295" spans="1:18" x14ac:dyDescent="0.25">
      <c r="A295" t="s">
        <v>80</v>
      </c>
      <c r="B295" t="s">
        <v>11</v>
      </c>
      <c r="C295" t="s">
        <v>12</v>
      </c>
      <c r="D295" t="s">
        <v>13</v>
      </c>
      <c r="E295" t="s">
        <v>14</v>
      </c>
      <c r="F295" t="s">
        <v>15</v>
      </c>
      <c r="G295" t="s">
        <v>15</v>
      </c>
      <c r="H295">
        <v>35</v>
      </c>
      <c r="I295" t="s">
        <v>17</v>
      </c>
      <c r="J295" t="s">
        <v>17</v>
      </c>
      <c r="K295" s="3">
        <v>37628</v>
      </c>
      <c r="L295" s="3">
        <v>44894</v>
      </c>
      <c r="M295" s="2">
        <f t="shared" si="22"/>
        <v>19.906849315068492</v>
      </c>
      <c r="N295" t="e">
        <f t="shared" si="23"/>
        <v>#VALUE!</v>
      </c>
      <c r="O295" t="s">
        <v>15</v>
      </c>
      <c r="P295" t="e">
        <f t="shared" si="24"/>
        <v>#VALUE!</v>
      </c>
      <c r="Q295" s="1" t="e">
        <f t="shared" si="27"/>
        <v>#VALUE!</v>
      </c>
    </row>
    <row r="296" spans="1:18" x14ac:dyDescent="0.25">
      <c r="A296" t="s">
        <v>80</v>
      </c>
      <c r="B296" t="s">
        <v>11</v>
      </c>
      <c r="C296" t="s">
        <v>296</v>
      </c>
      <c r="D296" t="s">
        <v>24</v>
      </c>
      <c r="E296" t="s">
        <v>14</v>
      </c>
      <c r="F296" t="s">
        <v>15</v>
      </c>
      <c r="G296" t="s">
        <v>15</v>
      </c>
      <c r="H296">
        <v>38</v>
      </c>
      <c r="I296" t="s">
        <v>17</v>
      </c>
      <c r="J296" t="s">
        <v>17</v>
      </c>
      <c r="K296" s="3">
        <v>36466</v>
      </c>
      <c r="L296" s="3">
        <v>44894</v>
      </c>
      <c r="M296" s="2">
        <f t="shared" si="22"/>
        <v>23.090410958904108</v>
      </c>
      <c r="N296" t="e">
        <f t="shared" si="23"/>
        <v>#VALUE!</v>
      </c>
      <c r="O296" t="s">
        <v>15</v>
      </c>
      <c r="P296" t="e">
        <f t="shared" si="24"/>
        <v>#VALUE!</v>
      </c>
      <c r="Q296" s="1" t="e">
        <f t="shared" si="27"/>
        <v>#VALUE!</v>
      </c>
    </row>
    <row r="297" spans="1:18" x14ac:dyDescent="0.25">
      <c r="A297" t="s">
        <v>80</v>
      </c>
      <c r="B297" t="s">
        <v>11</v>
      </c>
      <c r="C297" t="s">
        <v>18</v>
      </c>
      <c r="D297" t="s">
        <v>19</v>
      </c>
      <c r="E297" t="s">
        <v>14</v>
      </c>
      <c r="F297" t="s">
        <v>15</v>
      </c>
      <c r="G297" t="s">
        <v>15</v>
      </c>
      <c r="H297">
        <v>26</v>
      </c>
      <c r="I297" t="s">
        <v>17</v>
      </c>
      <c r="J297" t="s">
        <v>17</v>
      </c>
      <c r="K297" s="3">
        <v>38313</v>
      </c>
      <c r="L297" s="3">
        <v>44894</v>
      </c>
      <c r="M297" s="2">
        <f t="shared" si="22"/>
        <v>18.030136986301368</v>
      </c>
      <c r="N297" t="e">
        <f t="shared" si="23"/>
        <v>#VALUE!</v>
      </c>
      <c r="O297" t="s">
        <v>15</v>
      </c>
      <c r="P297" t="e">
        <f t="shared" si="24"/>
        <v>#VALUE!</v>
      </c>
      <c r="Q297" s="1" t="e">
        <f t="shared" si="27"/>
        <v>#VALUE!</v>
      </c>
    </row>
    <row r="298" spans="1:18" x14ac:dyDescent="0.25">
      <c r="A298" t="s">
        <v>80</v>
      </c>
      <c r="B298" t="s">
        <v>11</v>
      </c>
      <c r="C298" t="s">
        <v>20</v>
      </c>
      <c r="D298" t="s">
        <v>21</v>
      </c>
      <c r="E298" t="s">
        <v>14</v>
      </c>
      <c r="F298" t="s">
        <v>15</v>
      </c>
      <c r="G298" s="2" t="s">
        <v>15</v>
      </c>
      <c r="H298">
        <v>41</v>
      </c>
      <c r="I298" t="s">
        <v>17</v>
      </c>
      <c r="J298" t="s">
        <v>17</v>
      </c>
      <c r="K298" s="3">
        <v>36466</v>
      </c>
      <c r="L298" s="3">
        <v>44894</v>
      </c>
      <c r="M298" s="2">
        <f t="shared" si="22"/>
        <v>23.090410958904108</v>
      </c>
      <c r="N298" t="e">
        <f t="shared" si="23"/>
        <v>#VALUE!</v>
      </c>
      <c r="O298" t="s">
        <v>15</v>
      </c>
      <c r="P298" t="e">
        <f t="shared" si="24"/>
        <v>#VALUE!</v>
      </c>
      <c r="Q298" s="1" t="e">
        <f t="shared" si="27"/>
        <v>#VALUE!</v>
      </c>
    </row>
    <row r="299" spans="1:18" x14ac:dyDescent="0.25">
      <c r="A299" t="s">
        <v>80</v>
      </c>
      <c r="B299" t="s">
        <v>11</v>
      </c>
      <c r="C299" t="s">
        <v>25</v>
      </c>
      <c r="D299" t="s">
        <v>24</v>
      </c>
      <c r="E299" t="s">
        <v>14</v>
      </c>
      <c r="F299" t="s">
        <v>15</v>
      </c>
      <c r="G299" t="s">
        <v>15</v>
      </c>
      <c r="H299">
        <v>38</v>
      </c>
      <c r="I299" t="s">
        <v>17</v>
      </c>
      <c r="J299" t="s">
        <v>17</v>
      </c>
      <c r="K299" s="3">
        <v>36466</v>
      </c>
      <c r="L299" s="3">
        <v>44894</v>
      </c>
      <c r="M299" s="2">
        <f t="shared" si="22"/>
        <v>23.090410958904108</v>
      </c>
      <c r="N299" t="e">
        <f t="shared" si="23"/>
        <v>#VALUE!</v>
      </c>
      <c r="O299" t="s">
        <v>15</v>
      </c>
      <c r="P299" t="e">
        <f t="shared" si="24"/>
        <v>#VALUE!</v>
      </c>
      <c r="Q299" s="1" t="e">
        <f t="shared" si="27"/>
        <v>#VALUE!</v>
      </c>
    </row>
    <row r="300" spans="1:18" x14ac:dyDescent="0.25">
      <c r="A300" t="s">
        <v>80</v>
      </c>
      <c r="B300" t="s">
        <v>11</v>
      </c>
      <c r="C300" t="s">
        <v>26</v>
      </c>
      <c r="D300" t="s">
        <v>27</v>
      </c>
      <c r="E300" s="4" t="s">
        <v>28</v>
      </c>
      <c r="F300" t="s">
        <v>29</v>
      </c>
      <c r="G300">
        <v>-0.32940000000000003</v>
      </c>
      <c r="H300">
        <v>29</v>
      </c>
      <c r="I300" t="s">
        <v>17</v>
      </c>
      <c r="J300" t="s">
        <v>17</v>
      </c>
      <c r="K300" s="3">
        <v>38313</v>
      </c>
      <c r="L300" s="3">
        <v>44926</v>
      </c>
      <c r="M300" s="2">
        <f t="shared" si="22"/>
        <v>18.117808219178084</v>
      </c>
      <c r="N300">
        <f t="shared" si="23"/>
        <v>-5.9680060273972613</v>
      </c>
      <c r="O300">
        <v>21.5</v>
      </c>
      <c r="P300">
        <f t="shared" si="24"/>
        <v>15.531993972602738</v>
      </c>
      <c r="Q300" s="1">
        <f>((P300-O300)/O300)</f>
        <v>-0.27758167569289594</v>
      </c>
      <c r="R300" t="s">
        <v>147</v>
      </c>
    </row>
    <row r="301" spans="1:18" x14ac:dyDescent="0.25">
      <c r="A301" t="s">
        <v>81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15</v>
      </c>
      <c r="H301">
        <v>42</v>
      </c>
      <c r="I301" t="s">
        <v>17</v>
      </c>
      <c r="J301" t="s">
        <v>17</v>
      </c>
      <c r="K301" s="3">
        <v>35927</v>
      </c>
      <c r="L301" s="3">
        <v>44893</v>
      </c>
      <c r="M301" s="2">
        <f t="shared" si="22"/>
        <v>24.564383561643837</v>
      </c>
      <c r="N301" t="e">
        <f t="shared" si="23"/>
        <v>#VALUE!</v>
      </c>
      <c r="O301" t="s">
        <v>15</v>
      </c>
      <c r="P301" t="e">
        <f t="shared" si="24"/>
        <v>#VALUE!</v>
      </c>
      <c r="Q301" s="1" t="e">
        <f>((P301-O301)/P301)</f>
        <v>#VALUE!</v>
      </c>
    </row>
    <row r="302" spans="1:18" x14ac:dyDescent="0.25">
      <c r="A302" t="s">
        <v>81</v>
      </c>
      <c r="B302" t="s">
        <v>11</v>
      </c>
      <c r="C302" t="s">
        <v>296</v>
      </c>
      <c r="D302" t="s">
        <v>24</v>
      </c>
      <c r="E302" t="s">
        <v>14</v>
      </c>
      <c r="F302" t="s">
        <v>15</v>
      </c>
      <c r="G302" t="s">
        <v>15</v>
      </c>
      <c r="H302">
        <v>44</v>
      </c>
      <c r="I302" t="s">
        <v>17</v>
      </c>
      <c r="J302" t="s">
        <v>17</v>
      </c>
      <c r="K302" s="3">
        <v>35927</v>
      </c>
      <c r="L302" s="3">
        <v>44893</v>
      </c>
      <c r="M302" s="2">
        <f t="shared" si="22"/>
        <v>24.564383561643837</v>
      </c>
      <c r="N302" t="e">
        <f t="shared" si="23"/>
        <v>#VALUE!</v>
      </c>
      <c r="O302" t="s">
        <v>15</v>
      </c>
      <c r="P302" t="e">
        <f t="shared" si="24"/>
        <v>#VALUE!</v>
      </c>
      <c r="Q302" s="1" t="e">
        <f>((P302-O302)/P302)</f>
        <v>#VALUE!</v>
      </c>
    </row>
    <row r="303" spans="1:18" x14ac:dyDescent="0.25">
      <c r="A303" t="s">
        <v>81</v>
      </c>
      <c r="B303" t="s">
        <v>11</v>
      </c>
      <c r="C303" t="s">
        <v>18</v>
      </c>
      <c r="D303" t="s">
        <v>19</v>
      </c>
      <c r="E303" s="5" t="s">
        <v>40</v>
      </c>
      <c r="F303" t="s">
        <v>23</v>
      </c>
      <c r="G303">
        <v>0.84089999999999998</v>
      </c>
      <c r="H303">
        <v>44</v>
      </c>
      <c r="I303" t="s">
        <v>17</v>
      </c>
      <c r="J303" t="s">
        <v>17</v>
      </c>
      <c r="K303" s="3">
        <v>35927</v>
      </c>
      <c r="L303" s="3">
        <v>44893</v>
      </c>
      <c r="M303" s="2">
        <f t="shared" si="22"/>
        <v>24.564383561643837</v>
      </c>
      <c r="N303">
        <f t="shared" si="23"/>
        <v>20.6561901369863</v>
      </c>
      <c r="O303">
        <v>41</v>
      </c>
      <c r="P303">
        <f t="shared" si="24"/>
        <v>61.656190136986297</v>
      </c>
      <c r="Q303" s="1">
        <f t="shared" ref="Q303:Q308" si="28">((P303-O303)/O303)</f>
        <v>0.50380951553625108</v>
      </c>
      <c r="R303" t="s">
        <v>185</v>
      </c>
    </row>
    <row r="304" spans="1:18" x14ac:dyDescent="0.25">
      <c r="A304" t="s">
        <v>81</v>
      </c>
      <c r="B304" t="s">
        <v>11</v>
      </c>
      <c r="C304" t="s">
        <v>20</v>
      </c>
      <c r="D304" t="s">
        <v>21</v>
      </c>
      <c r="E304" t="s">
        <v>40</v>
      </c>
      <c r="F304" t="s">
        <v>23</v>
      </c>
      <c r="G304" s="2">
        <v>12.84</v>
      </c>
      <c r="H304">
        <v>44</v>
      </c>
      <c r="I304" t="s">
        <v>17</v>
      </c>
      <c r="J304" t="s">
        <v>17</v>
      </c>
      <c r="K304" s="3">
        <v>35927</v>
      </c>
      <c r="L304" s="3">
        <v>44893</v>
      </c>
      <c r="M304" s="2">
        <f t="shared" si="22"/>
        <v>24.564383561643837</v>
      </c>
      <c r="N304">
        <f t="shared" si="23"/>
        <v>315.40668493150685</v>
      </c>
      <c r="O304">
        <v>1350</v>
      </c>
      <c r="P304">
        <f t="shared" si="24"/>
        <v>1665.4066849315068</v>
      </c>
      <c r="Q304" s="1">
        <f t="shared" si="28"/>
        <v>0.23363458143074578</v>
      </c>
      <c r="R304" t="s">
        <v>142</v>
      </c>
    </row>
    <row r="305" spans="1:18" x14ac:dyDescent="0.25">
      <c r="A305" t="s">
        <v>81</v>
      </c>
      <c r="B305" t="s">
        <v>11</v>
      </c>
      <c r="C305" t="s">
        <v>25</v>
      </c>
      <c r="D305" t="s">
        <v>24</v>
      </c>
      <c r="E305" s="4" t="s">
        <v>22</v>
      </c>
      <c r="F305" t="s">
        <v>23</v>
      </c>
      <c r="G305">
        <v>3.869E-3</v>
      </c>
      <c r="H305">
        <v>44</v>
      </c>
      <c r="I305" t="s">
        <v>17</v>
      </c>
      <c r="J305" t="s">
        <v>17</v>
      </c>
      <c r="K305" s="3">
        <v>35927</v>
      </c>
      <c r="L305" s="3">
        <v>44893</v>
      </c>
      <c r="M305" s="2">
        <f t="shared" si="22"/>
        <v>24.564383561643837</v>
      </c>
      <c r="N305">
        <f t="shared" si="23"/>
        <v>9.5039600000000002E-2</v>
      </c>
      <c r="O305">
        <v>0.12</v>
      </c>
      <c r="P305">
        <f t="shared" si="24"/>
        <v>0.2150396</v>
      </c>
      <c r="Q305" s="1">
        <f t="shared" si="28"/>
        <v>0.79199666666666668</v>
      </c>
    </row>
    <row r="306" spans="1:18" x14ac:dyDescent="0.25">
      <c r="A306" t="s">
        <v>81</v>
      </c>
      <c r="B306" t="s">
        <v>11</v>
      </c>
      <c r="C306" t="s">
        <v>26</v>
      </c>
      <c r="D306" t="s">
        <v>27</v>
      </c>
      <c r="E306" s="4" t="s">
        <v>28</v>
      </c>
      <c r="F306" t="s">
        <v>29</v>
      </c>
      <c r="G306">
        <v>-0.58660000000000001</v>
      </c>
      <c r="H306">
        <v>43</v>
      </c>
      <c r="I306" t="s">
        <v>17</v>
      </c>
      <c r="J306" t="s">
        <v>17</v>
      </c>
      <c r="K306" s="3">
        <v>35927</v>
      </c>
      <c r="L306" s="3">
        <v>44937</v>
      </c>
      <c r="M306" s="2">
        <f t="shared" si="22"/>
        <v>24.684931506849313</v>
      </c>
      <c r="N306">
        <f t="shared" si="23"/>
        <v>-14.480180821917807</v>
      </c>
      <c r="O306">
        <v>35</v>
      </c>
      <c r="P306">
        <f t="shared" si="24"/>
        <v>20.519819178082194</v>
      </c>
      <c r="Q306" s="1">
        <f t="shared" si="28"/>
        <v>-0.41371945205479443</v>
      </c>
    </row>
    <row r="307" spans="1:18" x14ac:dyDescent="0.25">
      <c r="A307" t="s">
        <v>82</v>
      </c>
      <c r="B307" t="s">
        <v>11</v>
      </c>
      <c r="C307" t="s">
        <v>12</v>
      </c>
      <c r="D307" t="s">
        <v>13</v>
      </c>
      <c r="E307" s="4" t="s">
        <v>22</v>
      </c>
      <c r="F307" t="s">
        <v>29</v>
      </c>
      <c r="G307">
        <v>0.6431</v>
      </c>
      <c r="H307">
        <v>28</v>
      </c>
      <c r="I307" t="s">
        <v>33</v>
      </c>
      <c r="J307" t="s">
        <v>16</v>
      </c>
      <c r="K307" s="3">
        <v>37488</v>
      </c>
      <c r="L307" s="3">
        <v>43749</v>
      </c>
      <c r="M307" s="2">
        <f t="shared" si="22"/>
        <v>17.153424657534245</v>
      </c>
      <c r="N307">
        <f t="shared" si="23"/>
        <v>11.031367397260274</v>
      </c>
      <c r="O307">
        <v>10</v>
      </c>
      <c r="P307">
        <f t="shared" si="24"/>
        <v>21.031367397260276</v>
      </c>
      <c r="Q307" s="1">
        <f t="shared" si="28"/>
        <v>1.1031367397260277</v>
      </c>
    </row>
    <row r="308" spans="1:18" x14ac:dyDescent="0.25">
      <c r="A308" t="s">
        <v>82</v>
      </c>
      <c r="B308" t="s">
        <v>11</v>
      </c>
      <c r="C308" t="s">
        <v>296</v>
      </c>
      <c r="D308" t="s">
        <v>24</v>
      </c>
      <c r="E308" s="4" t="s">
        <v>22</v>
      </c>
      <c r="F308" t="s">
        <v>23</v>
      </c>
      <c r="G308">
        <v>1.8780000000000002E-2</v>
      </c>
      <c r="H308">
        <v>30</v>
      </c>
      <c r="I308" t="s">
        <v>31</v>
      </c>
      <c r="J308" t="s">
        <v>17</v>
      </c>
      <c r="K308" s="3">
        <v>37214</v>
      </c>
      <c r="L308" s="3">
        <v>43718</v>
      </c>
      <c r="M308" s="2">
        <f t="shared" si="22"/>
        <v>17.81917808219178</v>
      </c>
      <c r="N308">
        <f t="shared" si="23"/>
        <v>0.33464416438356165</v>
      </c>
      <c r="O308">
        <v>0.75</v>
      </c>
      <c r="P308">
        <f t="shared" si="24"/>
        <v>1.0846441643835616</v>
      </c>
      <c r="Q308" s="1">
        <f t="shared" si="28"/>
        <v>0.44619221917808211</v>
      </c>
    </row>
    <row r="309" spans="1:18" x14ac:dyDescent="0.25">
      <c r="A309" t="s">
        <v>82</v>
      </c>
      <c r="B309" t="s">
        <v>11</v>
      </c>
      <c r="C309" t="s">
        <v>18</v>
      </c>
      <c r="D309" t="s">
        <v>19</v>
      </c>
      <c r="E309" t="s">
        <v>14</v>
      </c>
      <c r="F309" t="s">
        <v>15</v>
      </c>
      <c r="G309" t="s">
        <v>15</v>
      </c>
      <c r="H309">
        <v>21</v>
      </c>
      <c r="I309" t="s">
        <v>33</v>
      </c>
      <c r="J309" t="s">
        <v>17</v>
      </c>
      <c r="K309" s="3">
        <v>37214</v>
      </c>
      <c r="L309" s="3">
        <v>43718</v>
      </c>
      <c r="M309" s="2">
        <f t="shared" si="22"/>
        <v>17.81917808219178</v>
      </c>
      <c r="N309" t="e">
        <f t="shared" si="23"/>
        <v>#VALUE!</v>
      </c>
      <c r="O309" t="s">
        <v>15</v>
      </c>
      <c r="P309" t="e">
        <f t="shared" si="24"/>
        <v>#VALUE!</v>
      </c>
      <c r="Q309" s="1" t="e">
        <f>((P309-O309)/P309)</f>
        <v>#VALUE!</v>
      </c>
    </row>
    <row r="310" spans="1:18" x14ac:dyDescent="0.25">
      <c r="A310" t="s">
        <v>82</v>
      </c>
      <c r="B310" t="s">
        <v>11</v>
      </c>
      <c r="C310" t="s">
        <v>20</v>
      </c>
      <c r="D310" t="s">
        <v>21</v>
      </c>
      <c r="E310" t="s">
        <v>28</v>
      </c>
      <c r="F310" t="s">
        <v>29</v>
      </c>
      <c r="G310" s="2">
        <v>-23.8</v>
      </c>
      <c r="H310">
        <v>27</v>
      </c>
      <c r="I310" t="s">
        <v>16</v>
      </c>
      <c r="J310" t="s">
        <v>33</v>
      </c>
      <c r="K310" s="3">
        <v>37214</v>
      </c>
      <c r="L310" s="3">
        <v>43718</v>
      </c>
      <c r="M310" s="2">
        <f t="shared" si="22"/>
        <v>17.81917808219178</v>
      </c>
      <c r="N310">
        <f t="shared" si="23"/>
        <v>-424.09643835616436</v>
      </c>
      <c r="O310">
        <v>1350</v>
      </c>
      <c r="P310">
        <f t="shared" si="24"/>
        <v>925.9035616438357</v>
      </c>
      <c r="Q310" s="1">
        <f>((P310-O310)/O310)</f>
        <v>-0.31414550989345502</v>
      </c>
      <c r="R310" t="s">
        <v>199</v>
      </c>
    </row>
    <row r="311" spans="1:18" x14ac:dyDescent="0.25">
      <c r="A311" t="s">
        <v>82</v>
      </c>
      <c r="B311" t="s">
        <v>11</v>
      </c>
      <c r="C311" t="s">
        <v>25</v>
      </c>
      <c r="D311" t="s">
        <v>24</v>
      </c>
      <c r="E311" t="s">
        <v>14</v>
      </c>
      <c r="F311" t="s">
        <v>15</v>
      </c>
      <c r="G311" t="s">
        <v>15</v>
      </c>
      <c r="H311">
        <v>30</v>
      </c>
      <c r="I311" t="s">
        <v>16</v>
      </c>
      <c r="J311" t="s">
        <v>17</v>
      </c>
      <c r="K311" s="3">
        <v>37214</v>
      </c>
      <c r="L311" s="3">
        <v>43718</v>
      </c>
      <c r="M311" s="2">
        <f t="shared" si="22"/>
        <v>17.81917808219178</v>
      </c>
      <c r="N311" t="e">
        <f t="shared" si="23"/>
        <v>#VALUE!</v>
      </c>
      <c r="O311" t="s">
        <v>15</v>
      </c>
      <c r="P311" t="e">
        <f t="shared" si="24"/>
        <v>#VALUE!</v>
      </c>
      <c r="Q311" s="1" t="e">
        <f>((P311-O311)/P311)</f>
        <v>#VALUE!</v>
      </c>
    </row>
    <row r="312" spans="1:18" x14ac:dyDescent="0.25">
      <c r="A312" t="s">
        <v>82</v>
      </c>
      <c r="B312" t="s">
        <v>11</v>
      </c>
      <c r="C312" t="s">
        <v>26</v>
      </c>
      <c r="D312" t="s">
        <v>27</v>
      </c>
      <c r="E312" t="s">
        <v>14</v>
      </c>
      <c r="F312" t="s">
        <v>15</v>
      </c>
      <c r="G312" t="s">
        <v>15</v>
      </c>
      <c r="H312">
        <v>25</v>
      </c>
      <c r="I312" t="s">
        <v>33</v>
      </c>
      <c r="J312" t="s">
        <v>17</v>
      </c>
      <c r="K312" s="3">
        <v>37214</v>
      </c>
      <c r="L312" s="3">
        <v>43718</v>
      </c>
      <c r="M312" s="2">
        <f t="shared" si="22"/>
        <v>17.81917808219178</v>
      </c>
      <c r="N312" t="e">
        <f t="shared" si="23"/>
        <v>#VALUE!</v>
      </c>
      <c r="O312" t="s">
        <v>15</v>
      </c>
      <c r="P312" t="e">
        <f t="shared" si="24"/>
        <v>#VALUE!</v>
      </c>
      <c r="Q312" s="1" t="e">
        <f>((P312-O312)/P312)</f>
        <v>#VALUE!</v>
      </c>
    </row>
    <row r="313" spans="1:18" x14ac:dyDescent="0.25">
      <c r="A313" s="5" t="s">
        <v>294</v>
      </c>
      <c r="B313" t="s">
        <v>11</v>
      </c>
      <c r="C313" t="s">
        <v>12</v>
      </c>
      <c r="D313" t="s">
        <v>13</v>
      </c>
      <c r="E313" s="5" t="s">
        <v>14</v>
      </c>
      <c r="F313" t="s">
        <v>15</v>
      </c>
      <c r="G313" s="2" t="s">
        <v>15</v>
      </c>
      <c r="H313" s="6">
        <v>40</v>
      </c>
      <c r="I313" s="5" t="s">
        <v>17</v>
      </c>
      <c r="J313" s="5" t="s">
        <v>17</v>
      </c>
      <c r="K313" s="3">
        <v>36438</v>
      </c>
      <c r="L313" s="3">
        <v>43677</v>
      </c>
      <c r="M313" s="2">
        <f t="shared" si="22"/>
        <v>19.832876712328765</v>
      </c>
      <c r="N313" t="e">
        <f t="shared" si="23"/>
        <v>#VALUE!</v>
      </c>
      <c r="O313" t="s">
        <v>15</v>
      </c>
      <c r="P313" t="e">
        <f t="shared" si="24"/>
        <v>#VALUE!</v>
      </c>
      <c r="Q313" s="1" t="e">
        <f>((P313-O313)/P313)</f>
        <v>#VALUE!</v>
      </c>
    </row>
    <row r="314" spans="1:18" x14ac:dyDescent="0.25">
      <c r="A314" s="5" t="s">
        <v>294</v>
      </c>
      <c r="B314" t="s">
        <v>11</v>
      </c>
      <c r="C314" t="s">
        <v>296</v>
      </c>
      <c r="D314" t="s">
        <v>24</v>
      </c>
      <c r="E314" s="4" t="s">
        <v>22</v>
      </c>
      <c r="F314" t="s">
        <v>23</v>
      </c>
      <c r="G314">
        <v>1.7250000000000001E-2</v>
      </c>
      <c r="H314" s="6">
        <v>38</v>
      </c>
      <c r="I314" s="5" t="s">
        <v>33</v>
      </c>
      <c r="J314" s="5" t="s">
        <v>17</v>
      </c>
      <c r="K314" s="3">
        <v>36438</v>
      </c>
      <c r="L314" s="3">
        <v>43677</v>
      </c>
      <c r="M314" s="2">
        <f t="shared" si="22"/>
        <v>19.832876712328765</v>
      </c>
      <c r="N314">
        <f t="shared" si="23"/>
        <v>0.34211712328767124</v>
      </c>
      <c r="O314">
        <v>0.65</v>
      </c>
      <c r="P314">
        <f t="shared" si="24"/>
        <v>0.99211712328767132</v>
      </c>
      <c r="Q314" s="1">
        <f>((P314-O314)/O314)</f>
        <v>0.52633403582718663</v>
      </c>
    </row>
    <row r="315" spans="1:18" x14ac:dyDescent="0.25">
      <c r="A315" s="5" t="s">
        <v>294</v>
      </c>
      <c r="B315" t="s">
        <v>11</v>
      </c>
      <c r="C315" t="s">
        <v>18</v>
      </c>
      <c r="D315" t="s">
        <v>19</v>
      </c>
      <c r="E315" s="5" t="s">
        <v>14</v>
      </c>
      <c r="F315" t="s">
        <v>15</v>
      </c>
      <c r="G315" t="s">
        <v>15</v>
      </c>
      <c r="H315" s="6">
        <v>36</v>
      </c>
      <c r="I315" s="5" t="s">
        <v>17</v>
      </c>
      <c r="J315" s="5" t="s">
        <v>17</v>
      </c>
      <c r="K315" s="3">
        <v>36438</v>
      </c>
      <c r="L315" s="3">
        <v>43677</v>
      </c>
      <c r="M315" s="2">
        <f t="shared" si="22"/>
        <v>19.832876712328765</v>
      </c>
      <c r="N315" t="e">
        <f t="shared" si="23"/>
        <v>#VALUE!</v>
      </c>
      <c r="O315" t="s">
        <v>15</v>
      </c>
      <c r="P315" t="e">
        <f t="shared" si="24"/>
        <v>#VALUE!</v>
      </c>
      <c r="Q315" s="1" t="e">
        <f>((P315-O315)/P315)</f>
        <v>#VALUE!</v>
      </c>
    </row>
    <row r="316" spans="1:18" x14ac:dyDescent="0.25">
      <c r="A316" s="5" t="s">
        <v>294</v>
      </c>
      <c r="B316" t="s">
        <v>11</v>
      </c>
      <c r="C316" t="s">
        <v>20</v>
      </c>
      <c r="D316" t="s">
        <v>21</v>
      </c>
      <c r="E316" s="4" t="s">
        <v>40</v>
      </c>
      <c r="F316" t="s">
        <v>23</v>
      </c>
      <c r="G316" s="2">
        <v>1.1359999999999999</v>
      </c>
      <c r="H316" s="6">
        <v>37</v>
      </c>
      <c r="K316" s="3">
        <v>36438</v>
      </c>
      <c r="L316" s="3">
        <v>45236</v>
      </c>
      <c r="M316" s="2">
        <f t="shared" si="22"/>
        <v>24.104109589041094</v>
      </c>
      <c r="N316">
        <f t="shared" si="23"/>
        <v>27.382268493150679</v>
      </c>
      <c r="O316">
        <v>241</v>
      </c>
      <c r="P316">
        <f t="shared" si="24"/>
        <v>268.38226849315066</v>
      </c>
      <c r="Q316" s="1">
        <f>((P316-O316)/O316)</f>
        <v>0.11361937134087412</v>
      </c>
    </row>
    <row r="317" spans="1:18" x14ac:dyDescent="0.25">
      <c r="A317" s="5" t="s">
        <v>294</v>
      </c>
      <c r="B317" t="s">
        <v>11</v>
      </c>
      <c r="C317" t="s">
        <v>25</v>
      </c>
      <c r="D317" t="s">
        <v>24</v>
      </c>
      <c r="E317" s="4" t="s">
        <v>38</v>
      </c>
      <c r="F317" t="s">
        <v>23</v>
      </c>
      <c r="G317" s="6">
        <v>1.6100000000000001E-3</v>
      </c>
      <c r="H317" s="6">
        <v>38</v>
      </c>
      <c r="I317" s="5" t="s">
        <v>33</v>
      </c>
      <c r="J317" s="5" t="s">
        <v>17</v>
      </c>
      <c r="K317" s="3">
        <v>36438</v>
      </c>
      <c r="L317" s="3">
        <v>43677</v>
      </c>
      <c r="M317" s="2">
        <f t="shared" si="22"/>
        <v>19.832876712328765</v>
      </c>
      <c r="N317">
        <f t="shared" si="23"/>
        <v>3.1930931506849315E-2</v>
      </c>
      <c r="O317">
        <v>6.5000000000000002E-2</v>
      </c>
      <c r="P317">
        <f t="shared" si="24"/>
        <v>9.693093150684931E-2</v>
      </c>
      <c r="Q317" s="1">
        <f>((P317-O317)/O317)</f>
        <v>0.49124510010537398</v>
      </c>
    </row>
    <row r="318" spans="1:18" x14ac:dyDescent="0.25">
      <c r="A318" s="5" t="s">
        <v>294</v>
      </c>
      <c r="B318" t="s">
        <v>11</v>
      </c>
      <c r="C318" t="s">
        <v>26</v>
      </c>
      <c r="D318" t="s">
        <v>27</v>
      </c>
      <c r="E318" s="5" t="s">
        <v>14</v>
      </c>
      <c r="F318" t="s">
        <v>15</v>
      </c>
      <c r="G318" t="s">
        <v>15</v>
      </c>
      <c r="H318" s="6">
        <v>36</v>
      </c>
      <c r="I318" s="5" t="s">
        <v>33</v>
      </c>
      <c r="J318" s="5" t="s">
        <v>17</v>
      </c>
      <c r="K318" s="3">
        <v>36438</v>
      </c>
      <c r="L318" s="3">
        <v>43677</v>
      </c>
      <c r="M318" s="2">
        <f t="shared" si="22"/>
        <v>19.832876712328765</v>
      </c>
      <c r="N318" t="e">
        <f t="shared" si="23"/>
        <v>#VALUE!</v>
      </c>
      <c r="O318" t="s">
        <v>15</v>
      </c>
      <c r="P318" t="e">
        <f t="shared" si="24"/>
        <v>#VALUE!</v>
      </c>
      <c r="Q318" s="1" t="e">
        <f>((P318-O318)/P318)</f>
        <v>#VALUE!</v>
      </c>
    </row>
    <row r="319" spans="1:18" x14ac:dyDescent="0.25">
      <c r="A319" t="s">
        <v>83</v>
      </c>
      <c r="B319" t="s">
        <v>11</v>
      </c>
      <c r="C319" t="s">
        <v>12</v>
      </c>
      <c r="D319" t="s">
        <v>13</v>
      </c>
      <c r="E319" s="4" t="s">
        <v>38</v>
      </c>
      <c r="F319" t="s">
        <v>23</v>
      </c>
      <c r="G319">
        <v>0.1159</v>
      </c>
      <c r="H319">
        <v>19</v>
      </c>
      <c r="I319" t="s">
        <v>16</v>
      </c>
      <c r="J319" t="s">
        <v>17</v>
      </c>
      <c r="K319" s="3">
        <v>37922</v>
      </c>
      <c r="L319" s="3">
        <v>44478</v>
      </c>
      <c r="M319" s="2">
        <f t="shared" si="22"/>
        <v>17.961643835616439</v>
      </c>
      <c r="N319">
        <f t="shared" si="23"/>
        <v>2.0817545205479453</v>
      </c>
      <c r="O319">
        <v>4.5</v>
      </c>
      <c r="P319">
        <f t="shared" si="24"/>
        <v>6.5817545205479453</v>
      </c>
      <c r="Q319" s="1">
        <f>((P319-O319)/O319)</f>
        <v>0.46261211567732119</v>
      </c>
      <c r="R319" t="s">
        <v>139</v>
      </c>
    </row>
    <row r="320" spans="1:18" x14ac:dyDescent="0.25">
      <c r="A320" t="s">
        <v>83</v>
      </c>
      <c r="B320" t="s">
        <v>11</v>
      </c>
      <c r="C320" t="s">
        <v>296</v>
      </c>
      <c r="D320" t="s">
        <v>24</v>
      </c>
      <c r="E320" t="s">
        <v>14</v>
      </c>
      <c r="F320" t="s">
        <v>15</v>
      </c>
      <c r="G320" t="s">
        <v>15</v>
      </c>
      <c r="H320">
        <v>25</v>
      </c>
      <c r="I320" t="s">
        <v>16</v>
      </c>
      <c r="J320" t="s">
        <v>16</v>
      </c>
      <c r="K320" s="3">
        <v>37300</v>
      </c>
      <c r="L320" s="3">
        <v>44446</v>
      </c>
      <c r="M320" s="2">
        <f t="shared" si="22"/>
        <v>19.578082191780823</v>
      </c>
      <c r="N320" t="e">
        <f t="shared" si="23"/>
        <v>#VALUE!</v>
      </c>
      <c r="O320" t="s">
        <v>15</v>
      </c>
      <c r="P320" t="e">
        <f t="shared" si="24"/>
        <v>#VALUE!</v>
      </c>
      <c r="Q320" s="1" t="e">
        <f>((P320-O320)/P320)</f>
        <v>#VALUE!</v>
      </c>
    </row>
    <row r="321" spans="1:18" x14ac:dyDescent="0.25">
      <c r="A321" t="s">
        <v>83</v>
      </c>
      <c r="B321" t="s">
        <v>11</v>
      </c>
      <c r="C321" t="s">
        <v>18</v>
      </c>
      <c r="D321" t="s">
        <v>19</v>
      </c>
      <c r="E321" t="s">
        <v>14</v>
      </c>
      <c r="F321" t="s">
        <v>15</v>
      </c>
      <c r="G321" t="s">
        <v>15</v>
      </c>
      <c r="H321">
        <v>20</v>
      </c>
      <c r="I321" t="s">
        <v>16</v>
      </c>
      <c r="J321" t="s">
        <v>17</v>
      </c>
      <c r="K321" s="3">
        <v>37382</v>
      </c>
      <c r="L321" s="3">
        <v>44446</v>
      </c>
      <c r="M321" s="2">
        <f t="shared" si="22"/>
        <v>19.353424657534248</v>
      </c>
      <c r="N321" t="e">
        <f t="shared" si="23"/>
        <v>#VALUE!</v>
      </c>
      <c r="O321" t="s">
        <v>15</v>
      </c>
      <c r="P321" t="e">
        <f t="shared" si="24"/>
        <v>#VALUE!</v>
      </c>
      <c r="Q321" s="1" t="e">
        <f>((P321-O321)/P321)</f>
        <v>#VALUE!</v>
      </c>
    </row>
    <row r="322" spans="1:18" x14ac:dyDescent="0.25">
      <c r="A322" t="s">
        <v>83</v>
      </c>
      <c r="B322" t="s">
        <v>11</v>
      </c>
      <c r="C322" t="s">
        <v>20</v>
      </c>
      <c r="D322" t="s">
        <v>21</v>
      </c>
      <c r="E322" t="s">
        <v>22</v>
      </c>
      <c r="F322" t="s">
        <v>23</v>
      </c>
      <c r="G322" s="2">
        <v>1.7310000000000001</v>
      </c>
      <c r="H322">
        <v>20</v>
      </c>
      <c r="I322" t="s">
        <v>16</v>
      </c>
      <c r="J322" t="s">
        <v>17</v>
      </c>
      <c r="K322" s="3">
        <v>37200</v>
      </c>
      <c r="L322" s="3">
        <v>45228</v>
      </c>
      <c r="M322" s="2">
        <f t="shared" si="22"/>
        <v>21.994520547945207</v>
      </c>
      <c r="N322">
        <f t="shared" si="23"/>
        <v>38.072515068493153</v>
      </c>
      <c r="O322">
        <v>315</v>
      </c>
      <c r="P322">
        <f t="shared" si="24"/>
        <v>353.07251506849315</v>
      </c>
      <c r="Q322" s="1">
        <f>((P322-O322)/O322)</f>
        <v>0.12086512720156554</v>
      </c>
      <c r="R322" t="s">
        <v>142</v>
      </c>
    </row>
    <row r="323" spans="1:18" x14ac:dyDescent="0.25">
      <c r="A323" t="s">
        <v>83</v>
      </c>
      <c r="B323" t="s">
        <v>11</v>
      </c>
      <c r="C323" t="s">
        <v>25</v>
      </c>
      <c r="D323" t="s">
        <v>24</v>
      </c>
      <c r="E323" t="s">
        <v>14</v>
      </c>
      <c r="F323" t="s">
        <v>15</v>
      </c>
      <c r="G323" t="s">
        <v>15</v>
      </c>
      <c r="H323">
        <v>21</v>
      </c>
      <c r="I323" t="s">
        <v>16</v>
      </c>
      <c r="J323" t="s">
        <v>17</v>
      </c>
      <c r="K323" s="3">
        <v>37300</v>
      </c>
      <c r="L323" s="3">
        <v>44446</v>
      </c>
      <c r="M323" s="2">
        <f t="shared" si="22"/>
        <v>19.578082191780823</v>
      </c>
      <c r="N323" t="e">
        <f t="shared" si="23"/>
        <v>#VALUE!</v>
      </c>
      <c r="O323" t="s">
        <v>15</v>
      </c>
      <c r="P323" t="e">
        <f t="shared" si="24"/>
        <v>#VALUE!</v>
      </c>
      <c r="Q323" s="1" t="e">
        <f>((P323-O323)/P323)</f>
        <v>#VALUE!</v>
      </c>
      <c r="R323" t="s">
        <v>171</v>
      </c>
    </row>
    <row r="324" spans="1:18" x14ac:dyDescent="0.25">
      <c r="A324" t="s">
        <v>83</v>
      </c>
      <c r="B324" t="s">
        <v>11</v>
      </c>
      <c r="C324" t="s">
        <v>26</v>
      </c>
      <c r="D324" t="s">
        <v>27</v>
      </c>
      <c r="E324" s="4" t="s">
        <v>32</v>
      </c>
      <c r="F324" t="s">
        <v>29</v>
      </c>
      <c r="G324">
        <v>-0.3664</v>
      </c>
      <c r="H324">
        <v>17</v>
      </c>
      <c r="I324" t="s">
        <v>16</v>
      </c>
      <c r="J324" t="s">
        <v>17</v>
      </c>
      <c r="K324" s="3">
        <v>37300</v>
      </c>
      <c r="L324" s="3">
        <v>44481</v>
      </c>
      <c r="M324" s="2">
        <f t="shared" si="22"/>
        <v>19.673972602739727</v>
      </c>
      <c r="N324">
        <f t="shared" si="23"/>
        <v>-7.208543561643836</v>
      </c>
      <c r="O324">
        <v>11.5</v>
      </c>
      <c r="P324">
        <f t="shared" si="24"/>
        <v>4.291456438356164</v>
      </c>
      <c r="Q324" s="1">
        <f>((P324-O324)/O324)</f>
        <v>-0.62682987492555098</v>
      </c>
      <c r="R324" t="s">
        <v>144</v>
      </c>
    </row>
    <row r="325" spans="1:18" x14ac:dyDescent="0.25">
      <c r="A325" t="s">
        <v>84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15</v>
      </c>
      <c r="H325">
        <v>30</v>
      </c>
      <c r="I325" t="s">
        <v>16</v>
      </c>
      <c r="J325" t="s">
        <v>17</v>
      </c>
      <c r="K325" s="3">
        <v>37480</v>
      </c>
      <c r="L325" s="3">
        <v>44872</v>
      </c>
      <c r="M325" s="2">
        <f t="shared" si="22"/>
        <v>20.252054794520546</v>
      </c>
      <c r="N325" t="e">
        <f t="shared" si="23"/>
        <v>#VALUE!</v>
      </c>
      <c r="O325" t="s">
        <v>15</v>
      </c>
      <c r="P325" t="e">
        <f t="shared" si="24"/>
        <v>#VALUE!</v>
      </c>
      <c r="Q325" s="1" t="e">
        <f>((P325-O325)/P325)</f>
        <v>#VALUE!</v>
      </c>
    </row>
    <row r="326" spans="1:18" x14ac:dyDescent="0.25">
      <c r="A326" t="s">
        <v>84</v>
      </c>
      <c r="B326" t="s">
        <v>11</v>
      </c>
      <c r="C326" t="s">
        <v>296</v>
      </c>
      <c r="D326" t="s">
        <v>24</v>
      </c>
      <c r="E326" s="5" t="s">
        <v>40</v>
      </c>
      <c r="F326" t="s">
        <v>23</v>
      </c>
      <c r="G326">
        <v>4.2160000000000001E-3</v>
      </c>
      <c r="H326">
        <v>35</v>
      </c>
      <c r="I326" t="s">
        <v>16</v>
      </c>
      <c r="J326" t="s">
        <v>17</v>
      </c>
      <c r="K326" s="3">
        <v>35900</v>
      </c>
      <c r="L326" s="3">
        <v>44916</v>
      </c>
      <c r="M326" s="2">
        <f t="shared" si="22"/>
        <v>24.701369863013699</v>
      </c>
      <c r="N326">
        <f t="shared" si="23"/>
        <v>0.10414097534246576</v>
      </c>
      <c r="O326">
        <v>0.6</v>
      </c>
      <c r="P326">
        <f t="shared" si="24"/>
        <v>0.70414097534246578</v>
      </c>
      <c r="Q326" s="1">
        <f>((P326-O326)/O326)</f>
        <v>0.17356829223744302</v>
      </c>
      <c r="R326" t="s">
        <v>142</v>
      </c>
    </row>
    <row r="327" spans="1:18" x14ac:dyDescent="0.25">
      <c r="A327" t="s">
        <v>84</v>
      </c>
      <c r="B327" t="s">
        <v>11</v>
      </c>
      <c r="C327" t="s">
        <v>18</v>
      </c>
      <c r="D327" t="s">
        <v>19</v>
      </c>
      <c r="E327" t="s">
        <v>14</v>
      </c>
      <c r="F327" t="s">
        <v>15</v>
      </c>
      <c r="G327" t="s">
        <v>15</v>
      </c>
      <c r="H327">
        <v>30</v>
      </c>
      <c r="I327" t="s">
        <v>31</v>
      </c>
      <c r="J327" t="s">
        <v>17</v>
      </c>
      <c r="K327" s="3">
        <v>37202</v>
      </c>
      <c r="L327" s="3">
        <v>44872</v>
      </c>
      <c r="M327" s="2">
        <f t="shared" si="22"/>
        <v>21.013698630136986</v>
      </c>
      <c r="N327" t="e">
        <f t="shared" si="23"/>
        <v>#VALUE!</v>
      </c>
      <c r="O327" t="s">
        <v>15</v>
      </c>
      <c r="P327" t="e">
        <f t="shared" si="24"/>
        <v>#VALUE!</v>
      </c>
      <c r="Q327" s="1" t="e">
        <f>((P327-O327)/P327)</f>
        <v>#VALUE!</v>
      </c>
    </row>
    <row r="328" spans="1:18" x14ac:dyDescent="0.25">
      <c r="A328" t="s">
        <v>84</v>
      </c>
      <c r="B328" t="s">
        <v>11</v>
      </c>
      <c r="C328" t="s">
        <v>20</v>
      </c>
      <c r="D328" t="s">
        <v>21</v>
      </c>
      <c r="E328" t="s">
        <v>14</v>
      </c>
      <c r="F328" t="s">
        <v>15</v>
      </c>
      <c r="G328" s="2" t="s">
        <v>15</v>
      </c>
      <c r="H328">
        <v>41</v>
      </c>
      <c r="I328" t="s">
        <v>16</v>
      </c>
      <c r="J328" t="s">
        <v>17</v>
      </c>
      <c r="K328" s="3">
        <v>35900</v>
      </c>
      <c r="L328" s="3">
        <v>44838</v>
      </c>
      <c r="M328" s="2">
        <f t="shared" ref="M328:M391" si="29">(L328-K328)/365</f>
        <v>24.487671232876714</v>
      </c>
      <c r="N328" t="e">
        <f t="shared" ref="N328:N391" si="30">G328*M328</f>
        <v>#VALUE!</v>
      </c>
      <c r="O328" t="s">
        <v>15</v>
      </c>
      <c r="P328" t="e">
        <f t="shared" ref="P328:P391" si="31">O328+N328</f>
        <v>#VALUE!</v>
      </c>
      <c r="Q328" s="1" t="e">
        <f>((P328-O328)/P328)</f>
        <v>#VALUE!</v>
      </c>
    </row>
    <row r="329" spans="1:18" x14ac:dyDescent="0.25">
      <c r="A329" t="s">
        <v>84</v>
      </c>
      <c r="B329" t="s">
        <v>11</v>
      </c>
      <c r="C329" t="s">
        <v>25</v>
      </c>
      <c r="D329" t="s">
        <v>24</v>
      </c>
      <c r="E329" t="s">
        <v>14</v>
      </c>
      <c r="F329" t="s">
        <v>15</v>
      </c>
      <c r="G329" t="s">
        <v>15</v>
      </c>
      <c r="H329">
        <v>36</v>
      </c>
      <c r="I329" t="s">
        <v>17</v>
      </c>
      <c r="J329" t="s">
        <v>17</v>
      </c>
      <c r="K329" s="3">
        <v>35900</v>
      </c>
      <c r="L329" s="3">
        <v>44872</v>
      </c>
      <c r="M329" s="2">
        <f t="shared" si="29"/>
        <v>24.580821917808219</v>
      </c>
      <c r="N329" t="e">
        <f t="shared" si="30"/>
        <v>#VALUE!</v>
      </c>
      <c r="O329" t="s">
        <v>15</v>
      </c>
      <c r="P329" t="e">
        <f t="shared" si="31"/>
        <v>#VALUE!</v>
      </c>
      <c r="Q329" s="1" t="e">
        <f>((P329-O329)/P329)</f>
        <v>#VALUE!</v>
      </c>
    </row>
    <row r="330" spans="1:18" x14ac:dyDescent="0.25">
      <c r="A330" t="s">
        <v>84</v>
      </c>
      <c r="B330" t="s">
        <v>11</v>
      </c>
      <c r="C330" t="s">
        <v>26</v>
      </c>
      <c r="D330" t="s">
        <v>27</v>
      </c>
      <c r="E330" s="5" t="s">
        <v>28</v>
      </c>
      <c r="F330" t="s">
        <v>29</v>
      </c>
      <c r="G330">
        <v>-0.1066</v>
      </c>
      <c r="H330">
        <v>36</v>
      </c>
      <c r="I330" t="s">
        <v>16</v>
      </c>
      <c r="J330" t="s">
        <v>31</v>
      </c>
      <c r="K330" s="3">
        <v>37202</v>
      </c>
      <c r="L330" s="3">
        <v>44910</v>
      </c>
      <c r="M330" s="2">
        <f t="shared" si="29"/>
        <v>21.117808219178084</v>
      </c>
      <c r="N330">
        <f t="shared" si="30"/>
        <v>-2.2511583561643835</v>
      </c>
      <c r="O330">
        <v>6.5</v>
      </c>
      <c r="P330">
        <f t="shared" si="31"/>
        <v>4.2488416438356165</v>
      </c>
      <c r="Q330" s="1">
        <f>((P330-O330)/O330)</f>
        <v>-0.34633205479452056</v>
      </c>
      <c r="R330" t="s">
        <v>144</v>
      </c>
    </row>
    <row r="331" spans="1:18" x14ac:dyDescent="0.25">
      <c r="A331" t="s">
        <v>85</v>
      </c>
      <c r="B331" t="s">
        <v>11</v>
      </c>
      <c r="C331" t="s">
        <v>12</v>
      </c>
      <c r="D331" t="s">
        <v>13</v>
      </c>
      <c r="E331" s="5" t="s">
        <v>40</v>
      </c>
      <c r="F331" t="s">
        <v>23</v>
      </c>
      <c r="G331">
        <v>1.5880000000000001</v>
      </c>
      <c r="H331">
        <v>18</v>
      </c>
      <c r="I331" t="s">
        <v>16</v>
      </c>
      <c r="J331" t="s">
        <v>17</v>
      </c>
      <c r="K331" s="3">
        <v>37909</v>
      </c>
      <c r="L331" s="3">
        <v>44846</v>
      </c>
      <c r="M331" s="2">
        <f t="shared" si="29"/>
        <v>19.005479452054793</v>
      </c>
      <c r="N331">
        <f t="shared" si="30"/>
        <v>30.180701369863012</v>
      </c>
      <c r="O331">
        <v>15</v>
      </c>
      <c r="P331">
        <f t="shared" si="31"/>
        <v>45.180701369863016</v>
      </c>
      <c r="Q331" s="1">
        <f>((P331-O331)/O331)</f>
        <v>2.0120467579908676</v>
      </c>
    </row>
    <row r="332" spans="1:18" x14ac:dyDescent="0.25">
      <c r="A332" t="s">
        <v>85</v>
      </c>
      <c r="B332" t="s">
        <v>11</v>
      </c>
      <c r="C332" t="s">
        <v>296</v>
      </c>
      <c r="D332" t="s">
        <v>24</v>
      </c>
      <c r="E332" s="4" t="s">
        <v>22</v>
      </c>
      <c r="F332" t="s">
        <v>23</v>
      </c>
      <c r="G332">
        <v>1.9300000000000001E-2</v>
      </c>
      <c r="H332">
        <v>28</v>
      </c>
      <c r="I332" t="s">
        <v>16</v>
      </c>
      <c r="J332" t="s">
        <v>17</v>
      </c>
      <c r="K332" s="3">
        <v>35956</v>
      </c>
      <c r="L332" s="3">
        <v>44846</v>
      </c>
      <c r="M332" s="2">
        <f t="shared" si="29"/>
        <v>24.356164383561644</v>
      </c>
      <c r="N332">
        <f t="shared" si="30"/>
        <v>0.47007397260273975</v>
      </c>
      <c r="O332">
        <v>0.7</v>
      </c>
      <c r="P332">
        <f t="shared" si="31"/>
        <v>1.1700739726027396</v>
      </c>
      <c r="Q332" s="1">
        <f>((P332-O332)/O332)</f>
        <v>0.67153424657534244</v>
      </c>
      <c r="R332" t="s">
        <v>147</v>
      </c>
    </row>
    <row r="333" spans="1:18" x14ac:dyDescent="0.25">
      <c r="A333" t="s">
        <v>85</v>
      </c>
      <c r="B333" t="s">
        <v>11</v>
      </c>
      <c r="C333" t="s">
        <v>18</v>
      </c>
      <c r="D333" t="s">
        <v>19</v>
      </c>
      <c r="E333" t="s">
        <v>14</v>
      </c>
      <c r="F333" t="s">
        <v>15</v>
      </c>
      <c r="G333" t="s">
        <v>15</v>
      </c>
      <c r="H333">
        <v>18</v>
      </c>
      <c r="I333" t="s">
        <v>16</v>
      </c>
      <c r="J333" t="s">
        <v>33</v>
      </c>
      <c r="K333" s="3">
        <v>37200</v>
      </c>
      <c r="L333" s="3">
        <v>44846</v>
      </c>
      <c r="M333" s="2">
        <f t="shared" si="29"/>
        <v>20.947945205479453</v>
      </c>
      <c r="N333" t="e">
        <f t="shared" si="30"/>
        <v>#VALUE!</v>
      </c>
      <c r="O333" t="s">
        <v>15</v>
      </c>
      <c r="P333" t="e">
        <f t="shared" si="31"/>
        <v>#VALUE!</v>
      </c>
      <c r="Q333" s="1" t="e">
        <f>((P333-O333)/P333)</f>
        <v>#VALUE!</v>
      </c>
    </row>
    <row r="334" spans="1:18" x14ac:dyDescent="0.25">
      <c r="A334" t="s">
        <v>85</v>
      </c>
      <c r="B334" t="s">
        <v>11</v>
      </c>
      <c r="C334" t="s">
        <v>20</v>
      </c>
      <c r="D334" t="s">
        <v>21</v>
      </c>
      <c r="E334" t="s">
        <v>40</v>
      </c>
      <c r="F334" t="s">
        <v>23</v>
      </c>
      <c r="G334" s="2">
        <v>5.7910000000000004</v>
      </c>
      <c r="H334">
        <v>22</v>
      </c>
      <c r="I334" t="s">
        <v>16</v>
      </c>
      <c r="J334" t="s">
        <v>17</v>
      </c>
      <c r="K334" s="3">
        <v>35956</v>
      </c>
      <c r="L334" s="3">
        <v>44816</v>
      </c>
      <c r="M334" s="2">
        <f t="shared" si="29"/>
        <v>24.273972602739725</v>
      </c>
      <c r="N334">
        <f t="shared" si="30"/>
        <v>140.57057534246576</v>
      </c>
      <c r="O334">
        <v>410</v>
      </c>
      <c r="P334">
        <f t="shared" si="31"/>
        <v>550.57057534246576</v>
      </c>
      <c r="Q334" s="1">
        <f>((P334-O334)/O334)</f>
        <v>0.34285506181089209</v>
      </c>
      <c r="R334" t="s">
        <v>170</v>
      </c>
    </row>
    <row r="335" spans="1:18" x14ac:dyDescent="0.25">
      <c r="A335" t="s">
        <v>85</v>
      </c>
      <c r="B335" t="s">
        <v>11</v>
      </c>
      <c r="C335" t="s">
        <v>25</v>
      </c>
      <c r="D335" t="s">
        <v>24</v>
      </c>
      <c r="E335" s="4" t="s">
        <v>22</v>
      </c>
      <c r="F335" t="s">
        <v>23</v>
      </c>
      <c r="G335">
        <v>9.5509999999999996E-4</v>
      </c>
      <c r="H335">
        <v>28</v>
      </c>
      <c r="I335" t="s">
        <v>16</v>
      </c>
      <c r="J335" t="s">
        <v>17</v>
      </c>
      <c r="K335" s="3">
        <v>35956</v>
      </c>
      <c r="L335" s="3">
        <v>44846</v>
      </c>
      <c r="M335" s="2">
        <f t="shared" si="29"/>
        <v>24.356164383561644</v>
      </c>
      <c r="N335">
        <f t="shared" si="30"/>
        <v>2.3262572602739725E-2</v>
      </c>
      <c r="O335">
        <v>3.9E-2</v>
      </c>
      <c r="P335">
        <f t="shared" si="31"/>
        <v>6.2262572602739721E-2</v>
      </c>
      <c r="Q335" s="1">
        <f>((P335-O335)/O335)</f>
        <v>0.59647622058306982</v>
      </c>
    </row>
    <row r="336" spans="1:18" x14ac:dyDescent="0.25">
      <c r="A336" t="s">
        <v>85</v>
      </c>
      <c r="B336" t="s">
        <v>11</v>
      </c>
      <c r="C336" t="s">
        <v>26</v>
      </c>
      <c r="D336" t="s">
        <v>27</v>
      </c>
      <c r="E336" t="s">
        <v>14</v>
      </c>
      <c r="F336" t="s">
        <v>15</v>
      </c>
      <c r="G336" t="s">
        <v>15</v>
      </c>
      <c r="H336">
        <v>22</v>
      </c>
      <c r="I336" t="s">
        <v>16</v>
      </c>
      <c r="J336" t="s">
        <v>17</v>
      </c>
      <c r="K336" s="3">
        <v>37200</v>
      </c>
      <c r="L336" s="3">
        <v>44846</v>
      </c>
      <c r="M336" s="2">
        <f t="shared" si="29"/>
        <v>20.947945205479453</v>
      </c>
      <c r="N336" t="e">
        <f t="shared" si="30"/>
        <v>#VALUE!</v>
      </c>
      <c r="O336" t="s">
        <v>15</v>
      </c>
      <c r="P336" t="e">
        <f t="shared" si="31"/>
        <v>#VALUE!</v>
      </c>
      <c r="Q336" s="1" t="e">
        <f>((P336-O336)/P336)</f>
        <v>#VALUE!</v>
      </c>
    </row>
    <row r="337" spans="1:18" x14ac:dyDescent="0.25">
      <c r="A337" t="s">
        <v>305</v>
      </c>
      <c r="B337" t="s">
        <v>11</v>
      </c>
      <c r="C337" t="s">
        <v>12</v>
      </c>
      <c r="D337" t="s">
        <v>13</v>
      </c>
      <c r="E337" s="5" t="s">
        <v>40</v>
      </c>
      <c r="F337" t="s">
        <v>23</v>
      </c>
      <c r="G337">
        <v>0.24940000000000001</v>
      </c>
      <c r="H337">
        <v>26</v>
      </c>
      <c r="I337" t="s">
        <v>16</v>
      </c>
      <c r="J337" t="s">
        <v>17</v>
      </c>
      <c r="K337" s="3">
        <v>37902</v>
      </c>
      <c r="L337" s="3">
        <v>44893</v>
      </c>
      <c r="M337" s="2">
        <f t="shared" si="29"/>
        <v>19.153424657534245</v>
      </c>
      <c r="N337">
        <f t="shared" si="30"/>
        <v>4.7768641095890407</v>
      </c>
      <c r="O337">
        <v>8</v>
      </c>
      <c r="P337">
        <f t="shared" si="31"/>
        <v>12.776864109589042</v>
      </c>
      <c r="Q337" s="1">
        <f>((P337-O337)/O337)</f>
        <v>0.5971080136986302</v>
      </c>
    </row>
    <row r="338" spans="1:18" x14ac:dyDescent="0.25">
      <c r="A338" t="s">
        <v>305</v>
      </c>
      <c r="B338" t="s">
        <v>11</v>
      </c>
      <c r="C338" t="s">
        <v>296</v>
      </c>
      <c r="D338" t="s">
        <v>24</v>
      </c>
      <c r="E338" s="4" t="s">
        <v>22</v>
      </c>
      <c r="F338" t="s">
        <v>23</v>
      </c>
      <c r="G338">
        <v>1.519E-2</v>
      </c>
      <c r="H338">
        <v>30</v>
      </c>
      <c r="I338" t="s">
        <v>16</v>
      </c>
      <c r="J338" t="s">
        <v>16</v>
      </c>
      <c r="K338" s="3">
        <v>37195</v>
      </c>
      <c r="L338" s="3">
        <v>44893</v>
      </c>
      <c r="M338" s="2">
        <f t="shared" si="29"/>
        <v>21.090410958904108</v>
      </c>
      <c r="N338">
        <f t="shared" si="30"/>
        <v>0.32036334246575343</v>
      </c>
      <c r="O338">
        <v>0.7</v>
      </c>
      <c r="P338">
        <f t="shared" si="31"/>
        <v>1.0203633424657534</v>
      </c>
      <c r="Q338" s="1">
        <f>((P338-O338)/O338)</f>
        <v>0.4576619178082193</v>
      </c>
    </row>
    <row r="339" spans="1:18" x14ac:dyDescent="0.25">
      <c r="A339" t="s">
        <v>305</v>
      </c>
      <c r="B339" t="s">
        <v>11</v>
      </c>
      <c r="C339" t="s">
        <v>18</v>
      </c>
      <c r="D339" t="s">
        <v>19</v>
      </c>
      <c r="E339" s="5" t="s">
        <v>28</v>
      </c>
      <c r="F339" t="s">
        <v>29</v>
      </c>
      <c r="G339">
        <v>-0.59870000000000001</v>
      </c>
      <c r="H339">
        <v>26</v>
      </c>
      <c r="I339" t="s">
        <v>31</v>
      </c>
      <c r="J339" t="s">
        <v>17</v>
      </c>
      <c r="K339" s="3">
        <v>37902</v>
      </c>
      <c r="L339" s="3">
        <v>44893</v>
      </c>
      <c r="M339" s="2">
        <f t="shared" si="29"/>
        <v>19.153424657534245</v>
      </c>
      <c r="N339">
        <f t="shared" si="30"/>
        <v>-11.467155342465754</v>
      </c>
      <c r="O339">
        <v>67</v>
      </c>
      <c r="P339">
        <f t="shared" si="31"/>
        <v>55.532844657534248</v>
      </c>
      <c r="Q339" s="1">
        <f>((P339-O339)/O339)</f>
        <v>-0.17115157227560823</v>
      </c>
    </row>
    <row r="340" spans="1:18" x14ac:dyDescent="0.25">
      <c r="A340" t="s">
        <v>305</v>
      </c>
      <c r="B340" t="s">
        <v>11</v>
      </c>
      <c r="C340" t="s">
        <v>20</v>
      </c>
      <c r="D340" t="s">
        <v>21</v>
      </c>
      <c r="E340" t="s">
        <v>22</v>
      </c>
      <c r="F340" t="s">
        <v>23</v>
      </c>
      <c r="G340" s="2">
        <v>4.4640000000000004</v>
      </c>
      <c r="H340">
        <v>27</v>
      </c>
      <c r="I340" t="s">
        <v>16</v>
      </c>
      <c r="J340" t="s">
        <v>31</v>
      </c>
      <c r="K340" s="3">
        <v>37195</v>
      </c>
      <c r="L340" s="3">
        <v>44890</v>
      </c>
      <c r="M340" s="2">
        <f t="shared" si="29"/>
        <v>21.082191780821919</v>
      </c>
      <c r="N340">
        <f t="shared" si="30"/>
        <v>94.110904109589057</v>
      </c>
      <c r="O340">
        <v>205</v>
      </c>
      <c r="P340">
        <f t="shared" si="31"/>
        <v>299.11090410958906</v>
      </c>
      <c r="Q340" s="1">
        <f>((P340-O340)/O340)</f>
        <v>0.45907758102238566</v>
      </c>
      <c r="R340" t="s">
        <v>142</v>
      </c>
    </row>
    <row r="341" spans="1:18" x14ac:dyDescent="0.25">
      <c r="A341" t="s">
        <v>305</v>
      </c>
      <c r="B341" t="s">
        <v>11</v>
      </c>
      <c r="C341" t="s">
        <v>25</v>
      </c>
      <c r="D341" t="s">
        <v>24</v>
      </c>
      <c r="E341" t="s">
        <v>14</v>
      </c>
      <c r="F341" t="s">
        <v>15</v>
      </c>
      <c r="G341" t="s">
        <v>15</v>
      </c>
      <c r="H341">
        <v>30</v>
      </c>
      <c r="I341" t="s">
        <v>16</v>
      </c>
      <c r="J341" t="s">
        <v>31</v>
      </c>
      <c r="K341" s="3">
        <v>37195</v>
      </c>
      <c r="L341" s="3">
        <v>44893</v>
      </c>
      <c r="M341" s="2">
        <f t="shared" si="29"/>
        <v>21.090410958904108</v>
      </c>
      <c r="N341" t="e">
        <f t="shared" si="30"/>
        <v>#VALUE!</v>
      </c>
      <c r="O341" t="s">
        <v>15</v>
      </c>
      <c r="P341" t="e">
        <f t="shared" si="31"/>
        <v>#VALUE!</v>
      </c>
      <c r="Q341" s="1" t="e">
        <f>((P341-O341)/P341)</f>
        <v>#VALUE!</v>
      </c>
    </row>
    <row r="342" spans="1:18" x14ac:dyDescent="0.25">
      <c r="A342" t="s">
        <v>305</v>
      </c>
      <c r="B342" t="s">
        <v>11</v>
      </c>
      <c r="C342" t="s">
        <v>26</v>
      </c>
      <c r="D342" t="s">
        <v>27</v>
      </c>
      <c r="E342" t="s">
        <v>14</v>
      </c>
      <c r="F342" t="s">
        <v>15</v>
      </c>
      <c r="G342" t="s">
        <v>15</v>
      </c>
      <c r="H342">
        <v>30</v>
      </c>
      <c r="I342" t="s">
        <v>33</v>
      </c>
      <c r="J342" t="s">
        <v>17</v>
      </c>
      <c r="K342" s="3">
        <v>37195</v>
      </c>
      <c r="L342" s="3">
        <v>44893</v>
      </c>
      <c r="M342" s="2">
        <f t="shared" si="29"/>
        <v>21.090410958904108</v>
      </c>
      <c r="N342" t="e">
        <f t="shared" si="30"/>
        <v>#VALUE!</v>
      </c>
      <c r="O342" t="s">
        <v>15</v>
      </c>
      <c r="P342" t="e">
        <f t="shared" si="31"/>
        <v>#VALUE!</v>
      </c>
      <c r="Q342" s="1" t="e">
        <f>((P342-O342)/P342)</f>
        <v>#VALUE!</v>
      </c>
    </row>
    <row r="343" spans="1:18" x14ac:dyDescent="0.25">
      <c r="A343" t="s">
        <v>87</v>
      </c>
      <c r="B343" t="s">
        <v>11</v>
      </c>
      <c r="C343" t="s">
        <v>12</v>
      </c>
      <c r="D343" t="s">
        <v>13</v>
      </c>
      <c r="E343" s="4" t="s">
        <v>38</v>
      </c>
      <c r="F343" t="s">
        <v>23</v>
      </c>
      <c r="G343">
        <v>0.21390000000000001</v>
      </c>
      <c r="H343">
        <v>35</v>
      </c>
      <c r="I343" t="s">
        <v>16</v>
      </c>
      <c r="J343" t="s">
        <v>17</v>
      </c>
      <c r="K343" s="3">
        <v>37782</v>
      </c>
      <c r="L343" s="3">
        <v>44930</v>
      </c>
      <c r="M343" s="2">
        <f t="shared" si="29"/>
        <v>19.583561643835615</v>
      </c>
      <c r="N343">
        <f t="shared" si="30"/>
        <v>4.1889238356164382</v>
      </c>
      <c r="O343">
        <v>4</v>
      </c>
      <c r="P343">
        <f t="shared" si="31"/>
        <v>8.1889238356164391</v>
      </c>
      <c r="Q343" s="1">
        <f>((P343-O343)/O343)</f>
        <v>1.0472309589041098</v>
      </c>
      <c r="R343" t="s">
        <v>138</v>
      </c>
    </row>
    <row r="344" spans="1:18" x14ac:dyDescent="0.25">
      <c r="A344" t="s">
        <v>87</v>
      </c>
      <c r="B344" t="s">
        <v>11</v>
      </c>
      <c r="C344" t="s">
        <v>296</v>
      </c>
      <c r="D344" t="s">
        <v>24</v>
      </c>
      <c r="E344" s="4" t="s">
        <v>22</v>
      </c>
      <c r="F344" t="s">
        <v>23</v>
      </c>
      <c r="G344">
        <v>1.0449999999999999E-2</v>
      </c>
      <c r="H344">
        <v>41</v>
      </c>
      <c r="I344" t="s">
        <v>16</v>
      </c>
      <c r="J344" t="s">
        <v>17</v>
      </c>
      <c r="K344" s="3">
        <v>35976</v>
      </c>
      <c r="L344" s="3">
        <v>44895</v>
      </c>
      <c r="M344" s="2">
        <f t="shared" si="29"/>
        <v>24.435616438356163</v>
      </c>
      <c r="N344">
        <f t="shared" si="30"/>
        <v>0.25535219178082191</v>
      </c>
      <c r="O344">
        <v>0.75</v>
      </c>
      <c r="P344">
        <f t="shared" si="31"/>
        <v>1.0053521917808219</v>
      </c>
      <c r="Q344" s="1">
        <f>((P344-O344)/O344)</f>
        <v>0.34046958904109587</v>
      </c>
      <c r="R344" t="s">
        <v>156</v>
      </c>
    </row>
    <row r="345" spans="1:18" x14ac:dyDescent="0.25">
      <c r="A345" t="s">
        <v>87</v>
      </c>
      <c r="B345" t="s">
        <v>11</v>
      </c>
      <c r="C345" t="s">
        <v>18</v>
      </c>
      <c r="D345" t="s">
        <v>19</v>
      </c>
      <c r="E345" t="s">
        <v>14</v>
      </c>
      <c r="F345" t="s">
        <v>15</v>
      </c>
      <c r="G345" t="s">
        <v>15</v>
      </c>
      <c r="H345">
        <v>26</v>
      </c>
      <c r="I345" t="s">
        <v>16</v>
      </c>
      <c r="J345" t="s">
        <v>17</v>
      </c>
      <c r="K345" s="3">
        <v>36822</v>
      </c>
      <c r="L345" s="3">
        <v>44895</v>
      </c>
      <c r="M345" s="2">
        <f t="shared" si="29"/>
        <v>22.117808219178084</v>
      </c>
      <c r="N345" t="e">
        <f t="shared" si="30"/>
        <v>#VALUE!</v>
      </c>
      <c r="O345" t="s">
        <v>15</v>
      </c>
      <c r="P345" t="e">
        <f t="shared" si="31"/>
        <v>#VALUE!</v>
      </c>
      <c r="Q345" s="1" t="e">
        <f>((P345-O345)/P345)</f>
        <v>#VALUE!</v>
      </c>
    </row>
    <row r="346" spans="1:18" x14ac:dyDescent="0.25">
      <c r="A346" t="s">
        <v>87</v>
      </c>
      <c r="B346" t="s">
        <v>11</v>
      </c>
      <c r="C346" t="s">
        <v>20</v>
      </c>
      <c r="D346" t="s">
        <v>21</v>
      </c>
      <c r="E346" t="s">
        <v>22</v>
      </c>
      <c r="F346" t="s">
        <v>23</v>
      </c>
      <c r="G346" s="2">
        <v>2.3149999999999999</v>
      </c>
      <c r="H346">
        <v>40</v>
      </c>
      <c r="I346" t="s">
        <v>16</v>
      </c>
      <c r="J346" t="s">
        <v>17</v>
      </c>
      <c r="K346" s="3">
        <v>36824</v>
      </c>
      <c r="L346" s="3">
        <v>44895</v>
      </c>
      <c r="M346" s="2">
        <f t="shared" si="29"/>
        <v>22.112328767123287</v>
      </c>
      <c r="N346">
        <f t="shared" si="30"/>
        <v>51.190041095890408</v>
      </c>
      <c r="O346">
        <v>75</v>
      </c>
      <c r="P346">
        <f t="shared" si="31"/>
        <v>126.19004109589041</v>
      </c>
      <c r="Q346" s="1">
        <f>((P346-O346)/O346)</f>
        <v>0.68253388127853876</v>
      </c>
      <c r="R346" t="s">
        <v>142</v>
      </c>
    </row>
    <row r="347" spans="1:18" x14ac:dyDescent="0.25">
      <c r="A347" t="s">
        <v>87</v>
      </c>
      <c r="B347" t="s">
        <v>11</v>
      </c>
      <c r="C347" t="s">
        <v>25</v>
      </c>
      <c r="D347" t="s">
        <v>24</v>
      </c>
      <c r="E347" t="s">
        <v>14</v>
      </c>
      <c r="F347" t="s">
        <v>15</v>
      </c>
      <c r="G347" t="s">
        <v>15</v>
      </c>
      <c r="H347">
        <v>41</v>
      </c>
      <c r="I347" t="s">
        <v>16</v>
      </c>
      <c r="J347" t="s">
        <v>17</v>
      </c>
      <c r="K347" s="3">
        <v>35976</v>
      </c>
      <c r="L347" s="3">
        <v>44895</v>
      </c>
      <c r="M347" s="2">
        <f t="shared" si="29"/>
        <v>24.435616438356163</v>
      </c>
      <c r="N347" t="e">
        <f t="shared" si="30"/>
        <v>#VALUE!</v>
      </c>
      <c r="O347" t="s">
        <v>15</v>
      </c>
      <c r="P347" t="e">
        <f t="shared" si="31"/>
        <v>#VALUE!</v>
      </c>
      <c r="Q347" s="1" t="e">
        <f>((P347-O347)/P347)</f>
        <v>#VALUE!</v>
      </c>
      <c r="R347" t="s">
        <v>175</v>
      </c>
    </row>
    <row r="348" spans="1:18" x14ac:dyDescent="0.25">
      <c r="A348" t="s">
        <v>87</v>
      </c>
      <c r="B348" t="s">
        <v>11</v>
      </c>
      <c r="C348" t="s">
        <v>26</v>
      </c>
      <c r="D348" t="s">
        <v>27</v>
      </c>
      <c r="E348" t="s">
        <v>14</v>
      </c>
      <c r="F348" t="s">
        <v>15</v>
      </c>
      <c r="G348" t="s">
        <v>15</v>
      </c>
      <c r="H348">
        <v>25</v>
      </c>
      <c r="I348" t="s">
        <v>16</v>
      </c>
      <c r="J348" t="s">
        <v>17</v>
      </c>
      <c r="K348" s="3">
        <v>36822</v>
      </c>
      <c r="L348" s="3">
        <v>44895</v>
      </c>
      <c r="M348" s="2">
        <f t="shared" si="29"/>
        <v>22.117808219178084</v>
      </c>
      <c r="N348" t="e">
        <f t="shared" si="30"/>
        <v>#VALUE!</v>
      </c>
      <c r="O348" t="s">
        <v>15</v>
      </c>
      <c r="P348" t="e">
        <f t="shared" si="31"/>
        <v>#VALUE!</v>
      </c>
      <c r="Q348" s="1" t="e">
        <f>((P348-O348)/P348)</f>
        <v>#VALUE!</v>
      </c>
    </row>
    <row r="349" spans="1:18" x14ac:dyDescent="0.25">
      <c r="A349" t="s">
        <v>306</v>
      </c>
      <c r="B349" t="s">
        <v>11</v>
      </c>
      <c r="C349" t="s">
        <v>12</v>
      </c>
      <c r="D349" t="s">
        <v>13</v>
      </c>
      <c r="E349" s="4" t="s">
        <v>38</v>
      </c>
      <c r="F349" t="s">
        <v>23</v>
      </c>
      <c r="G349">
        <v>0.26129999999999998</v>
      </c>
      <c r="H349">
        <v>27</v>
      </c>
      <c r="I349" t="s">
        <v>16</v>
      </c>
      <c r="J349" t="s">
        <v>17</v>
      </c>
      <c r="K349" s="3">
        <v>37474</v>
      </c>
      <c r="L349" s="3">
        <v>43896</v>
      </c>
      <c r="M349" s="2">
        <f t="shared" si="29"/>
        <v>17.594520547945205</v>
      </c>
      <c r="N349">
        <f t="shared" si="30"/>
        <v>4.5974482191780819</v>
      </c>
      <c r="O349">
        <v>2</v>
      </c>
      <c r="P349">
        <f t="shared" si="31"/>
        <v>6.5974482191780819</v>
      </c>
      <c r="Q349" s="1">
        <f t="shared" ref="Q349:Q354" si="32">((P349-O349)/O349)</f>
        <v>2.2987241095890409</v>
      </c>
      <c r="R349" t="s">
        <v>142</v>
      </c>
    </row>
    <row r="350" spans="1:18" x14ac:dyDescent="0.25">
      <c r="A350" t="s">
        <v>306</v>
      </c>
      <c r="B350" t="s">
        <v>11</v>
      </c>
      <c r="C350" t="s">
        <v>296</v>
      </c>
      <c r="D350" t="s">
        <v>24</v>
      </c>
      <c r="E350" s="5" t="s">
        <v>38</v>
      </c>
      <c r="F350" t="s">
        <v>23</v>
      </c>
      <c r="G350">
        <v>9.5709999999999996E-3</v>
      </c>
      <c r="H350">
        <v>31</v>
      </c>
      <c r="I350" t="s">
        <v>33</v>
      </c>
      <c r="J350" t="s">
        <v>17</v>
      </c>
      <c r="K350" s="3">
        <v>37201</v>
      </c>
      <c r="L350" s="3">
        <v>43865</v>
      </c>
      <c r="M350" s="2">
        <f t="shared" si="29"/>
        <v>18.257534246575343</v>
      </c>
      <c r="N350">
        <f t="shared" si="30"/>
        <v>0.17474286027397259</v>
      </c>
      <c r="O350">
        <v>0.43</v>
      </c>
      <c r="P350">
        <f t="shared" si="31"/>
        <v>0.60474286027397262</v>
      </c>
      <c r="Q350" s="1">
        <f t="shared" si="32"/>
        <v>0.40637874482319214</v>
      </c>
      <c r="R350" t="s">
        <v>147</v>
      </c>
    </row>
    <row r="351" spans="1:18" x14ac:dyDescent="0.25">
      <c r="A351" t="s">
        <v>306</v>
      </c>
      <c r="B351" t="s">
        <v>11</v>
      </c>
      <c r="C351" t="s">
        <v>18</v>
      </c>
      <c r="D351" t="s">
        <v>19</v>
      </c>
      <c r="E351" s="4" t="s">
        <v>32</v>
      </c>
      <c r="F351" t="s">
        <v>29</v>
      </c>
      <c r="G351">
        <v>-5.0010000000000003</v>
      </c>
      <c r="H351">
        <v>20</v>
      </c>
      <c r="I351" t="s">
        <v>16</v>
      </c>
      <c r="J351" t="s">
        <v>17</v>
      </c>
      <c r="K351" s="3">
        <v>37914</v>
      </c>
      <c r="L351" s="3">
        <v>43865</v>
      </c>
      <c r="M351" s="2">
        <f t="shared" si="29"/>
        <v>16.304109589041097</v>
      </c>
      <c r="N351">
        <f t="shared" si="30"/>
        <v>-81.536852054794537</v>
      </c>
      <c r="O351">
        <v>160</v>
      </c>
      <c r="P351">
        <f t="shared" si="31"/>
        <v>78.463147945205463</v>
      </c>
      <c r="Q351" s="1">
        <f t="shared" si="32"/>
        <v>-0.50960532534246583</v>
      </c>
      <c r="R351" t="s">
        <v>147</v>
      </c>
    </row>
    <row r="352" spans="1:18" x14ac:dyDescent="0.25">
      <c r="A352" t="s">
        <v>306</v>
      </c>
      <c r="B352" t="s">
        <v>11</v>
      </c>
      <c r="C352" t="s">
        <v>20</v>
      </c>
      <c r="D352" t="s">
        <v>21</v>
      </c>
      <c r="E352" t="s">
        <v>22</v>
      </c>
      <c r="F352" t="s">
        <v>23</v>
      </c>
      <c r="G352" s="2">
        <v>0.98</v>
      </c>
      <c r="H352">
        <v>40</v>
      </c>
      <c r="I352" t="s">
        <v>16</v>
      </c>
      <c r="J352" t="s">
        <v>31</v>
      </c>
      <c r="K352" s="3">
        <v>35849</v>
      </c>
      <c r="L352" s="3">
        <v>45202</v>
      </c>
      <c r="M352" s="2">
        <f t="shared" si="29"/>
        <v>25.624657534246577</v>
      </c>
      <c r="N352">
        <f t="shared" si="30"/>
        <v>25.112164383561645</v>
      </c>
      <c r="O352">
        <v>38</v>
      </c>
      <c r="P352">
        <f t="shared" si="31"/>
        <v>63.112164383561648</v>
      </c>
      <c r="Q352" s="1">
        <f t="shared" si="32"/>
        <v>0.66084643114635921</v>
      </c>
    </row>
    <row r="353" spans="1:18" x14ac:dyDescent="0.25">
      <c r="A353" t="s">
        <v>306</v>
      </c>
      <c r="B353" t="s">
        <v>11</v>
      </c>
      <c r="C353" t="s">
        <v>25</v>
      </c>
      <c r="D353" t="s">
        <v>24</v>
      </c>
      <c r="E353" s="5" t="s">
        <v>38</v>
      </c>
      <c r="F353" t="s">
        <v>23</v>
      </c>
      <c r="G353">
        <v>4.6069999999999998E-4</v>
      </c>
      <c r="H353">
        <v>26</v>
      </c>
      <c r="I353" t="s">
        <v>16</v>
      </c>
      <c r="J353" t="s">
        <v>17</v>
      </c>
      <c r="K353" s="3">
        <v>37201</v>
      </c>
      <c r="L353" s="3">
        <v>43865</v>
      </c>
      <c r="M353" s="2">
        <f t="shared" si="29"/>
        <v>18.257534246575343</v>
      </c>
      <c r="N353">
        <f t="shared" si="30"/>
        <v>8.4112460273972605E-3</v>
      </c>
      <c r="O353">
        <v>1.6E-2</v>
      </c>
      <c r="P353">
        <f t="shared" si="31"/>
        <v>2.4411246027397263E-2</v>
      </c>
      <c r="Q353" s="1">
        <f t="shared" si="32"/>
        <v>0.52570287671232885</v>
      </c>
      <c r="R353" t="s">
        <v>170</v>
      </c>
    </row>
    <row r="354" spans="1:18" x14ac:dyDescent="0.25">
      <c r="A354" t="s">
        <v>306</v>
      </c>
      <c r="B354" t="s">
        <v>11</v>
      </c>
      <c r="C354" t="s">
        <v>26</v>
      </c>
      <c r="D354" t="s">
        <v>27</v>
      </c>
      <c r="E354" s="4" t="s">
        <v>40</v>
      </c>
      <c r="F354" t="s">
        <v>23</v>
      </c>
      <c r="G354">
        <v>0.12870000000000001</v>
      </c>
      <c r="H354">
        <v>29</v>
      </c>
      <c r="I354" t="s">
        <v>17</v>
      </c>
      <c r="J354" t="s">
        <v>17</v>
      </c>
      <c r="K354" s="3">
        <v>37201</v>
      </c>
      <c r="L354" s="3">
        <v>43865</v>
      </c>
      <c r="M354" s="2">
        <f t="shared" si="29"/>
        <v>18.257534246575343</v>
      </c>
      <c r="N354">
        <f t="shared" si="30"/>
        <v>2.3497446575342469</v>
      </c>
      <c r="O354">
        <v>5.5</v>
      </c>
      <c r="P354">
        <f t="shared" si="31"/>
        <v>7.8497446575342469</v>
      </c>
      <c r="Q354" s="1">
        <f t="shared" si="32"/>
        <v>0.42722630136986306</v>
      </c>
      <c r="R354" t="s">
        <v>150</v>
      </c>
    </row>
    <row r="355" spans="1:18" x14ac:dyDescent="0.25">
      <c r="A355" t="s">
        <v>89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15</v>
      </c>
      <c r="H355">
        <v>27</v>
      </c>
      <c r="I355" t="s">
        <v>33</v>
      </c>
      <c r="J355" t="s">
        <v>17</v>
      </c>
      <c r="K355" s="3">
        <v>38244</v>
      </c>
      <c r="L355" s="3">
        <v>43648</v>
      </c>
      <c r="M355" s="2">
        <f t="shared" si="29"/>
        <v>14.805479452054794</v>
      </c>
      <c r="N355" t="e">
        <f t="shared" si="30"/>
        <v>#VALUE!</v>
      </c>
      <c r="O355" t="s">
        <v>15</v>
      </c>
      <c r="P355" t="e">
        <f t="shared" si="31"/>
        <v>#VALUE!</v>
      </c>
      <c r="Q355" s="1" t="e">
        <f>((P355-O355)/P355)</f>
        <v>#VALUE!</v>
      </c>
    </row>
    <row r="356" spans="1:18" x14ac:dyDescent="0.25">
      <c r="A356" t="s">
        <v>89</v>
      </c>
      <c r="B356" t="s">
        <v>11</v>
      </c>
      <c r="C356" t="s">
        <v>296</v>
      </c>
      <c r="D356" t="s">
        <v>24</v>
      </c>
      <c r="E356" t="s">
        <v>14</v>
      </c>
      <c r="F356" t="s">
        <v>15</v>
      </c>
      <c r="G356" t="s">
        <v>15</v>
      </c>
      <c r="H356">
        <v>38</v>
      </c>
      <c r="I356" t="s">
        <v>16</v>
      </c>
      <c r="J356" t="s">
        <v>17</v>
      </c>
      <c r="K356" s="3">
        <v>35933</v>
      </c>
      <c r="L356" s="3">
        <v>43648</v>
      </c>
      <c r="M356" s="2">
        <f t="shared" si="29"/>
        <v>21.136986301369863</v>
      </c>
      <c r="N356" t="e">
        <f t="shared" si="30"/>
        <v>#VALUE!</v>
      </c>
      <c r="O356" t="s">
        <v>15</v>
      </c>
      <c r="P356" t="e">
        <f t="shared" si="31"/>
        <v>#VALUE!</v>
      </c>
      <c r="Q356" s="1" t="e">
        <f>((P356-O356)/P356)</f>
        <v>#VALUE!</v>
      </c>
    </row>
    <row r="357" spans="1:18" x14ac:dyDescent="0.25">
      <c r="A357" t="s">
        <v>89</v>
      </c>
      <c r="B357" t="s">
        <v>11</v>
      </c>
      <c r="C357" t="s">
        <v>18</v>
      </c>
      <c r="D357" t="s">
        <v>19</v>
      </c>
      <c r="E357" t="s">
        <v>14</v>
      </c>
      <c r="F357" t="s">
        <v>15</v>
      </c>
      <c r="G357" t="s">
        <v>15</v>
      </c>
      <c r="H357">
        <v>24</v>
      </c>
      <c r="I357" t="s">
        <v>17</v>
      </c>
      <c r="J357" t="s">
        <v>17</v>
      </c>
      <c r="K357" s="3">
        <v>37279</v>
      </c>
      <c r="L357" s="3">
        <v>43648</v>
      </c>
      <c r="M357" s="2">
        <f t="shared" si="29"/>
        <v>17.449315068493149</v>
      </c>
      <c r="N357" t="e">
        <f t="shared" si="30"/>
        <v>#VALUE!</v>
      </c>
      <c r="O357" t="s">
        <v>15</v>
      </c>
      <c r="P357" t="e">
        <f t="shared" si="31"/>
        <v>#VALUE!</v>
      </c>
      <c r="Q357" s="1" t="e">
        <f>((P357-O357)/P357)</f>
        <v>#VALUE!</v>
      </c>
    </row>
    <row r="358" spans="1:18" x14ac:dyDescent="0.25">
      <c r="A358" t="s">
        <v>89</v>
      </c>
      <c r="B358" t="s">
        <v>11</v>
      </c>
      <c r="C358" t="s">
        <v>20</v>
      </c>
      <c r="D358" t="s">
        <v>21</v>
      </c>
      <c r="E358" t="s">
        <v>22</v>
      </c>
      <c r="F358" t="s">
        <v>23</v>
      </c>
      <c r="G358" s="2">
        <v>4.0730000000000004</v>
      </c>
      <c r="H358">
        <v>37</v>
      </c>
      <c r="I358" t="s">
        <v>16</v>
      </c>
      <c r="J358" t="s">
        <v>17</v>
      </c>
      <c r="K358" s="3">
        <v>35933</v>
      </c>
      <c r="L358" s="3">
        <v>43556</v>
      </c>
      <c r="M358" s="2">
        <f t="shared" si="29"/>
        <v>20.884931506849316</v>
      </c>
      <c r="N358">
        <f t="shared" si="30"/>
        <v>85.064326027397271</v>
      </c>
      <c r="O358">
        <v>310</v>
      </c>
      <c r="P358">
        <f t="shared" si="31"/>
        <v>395.06432602739727</v>
      </c>
      <c r="Q358" s="1">
        <f>((P358-O358)/O358)</f>
        <v>0.27440105170128154</v>
      </c>
      <c r="R358" t="s">
        <v>142</v>
      </c>
    </row>
    <row r="359" spans="1:18" x14ac:dyDescent="0.25">
      <c r="A359" t="s">
        <v>89</v>
      </c>
      <c r="B359" t="s">
        <v>11</v>
      </c>
      <c r="C359" t="s">
        <v>25</v>
      </c>
      <c r="D359" t="s">
        <v>24</v>
      </c>
      <c r="E359" t="s">
        <v>14</v>
      </c>
      <c r="F359" t="s">
        <v>15</v>
      </c>
      <c r="G359" t="s">
        <v>15</v>
      </c>
      <c r="H359">
        <v>36</v>
      </c>
      <c r="I359" t="s">
        <v>16</v>
      </c>
      <c r="J359" t="s">
        <v>17</v>
      </c>
      <c r="K359" s="3">
        <v>35933</v>
      </c>
      <c r="L359" s="3">
        <v>43648</v>
      </c>
      <c r="M359" s="2">
        <f t="shared" si="29"/>
        <v>21.136986301369863</v>
      </c>
      <c r="N359" t="e">
        <f t="shared" si="30"/>
        <v>#VALUE!</v>
      </c>
      <c r="O359" t="s">
        <v>15</v>
      </c>
      <c r="P359" t="e">
        <f t="shared" si="31"/>
        <v>#VALUE!</v>
      </c>
      <c r="Q359" s="1" t="e">
        <f>((P359-O359)/P359)</f>
        <v>#VALUE!</v>
      </c>
      <c r="R359" t="s">
        <v>176</v>
      </c>
    </row>
    <row r="360" spans="1:18" x14ac:dyDescent="0.25">
      <c r="A360" t="s">
        <v>89</v>
      </c>
      <c r="B360" t="s">
        <v>11</v>
      </c>
      <c r="C360" t="s">
        <v>26</v>
      </c>
      <c r="D360" t="s">
        <v>27</v>
      </c>
      <c r="E360" t="s">
        <v>14</v>
      </c>
      <c r="F360" t="s">
        <v>15</v>
      </c>
      <c r="G360" t="s">
        <v>15</v>
      </c>
      <c r="H360">
        <v>25</v>
      </c>
      <c r="I360" t="s">
        <v>17</v>
      </c>
      <c r="J360" t="s">
        <v>17</v>
      </c>
      <c r="K360" s="3">
        <v>37188</v>
      </c>
      <c r="L360" s="3">
        <v>43648</v>
      </c>
      <c r="M360" s="2">
        <f t="shared" si="29"/>
        <v>17.698630136986303</v>
      </c>
      <c r="N360" t="e">
        <f t="shared" si="30"/>
        <v>#VALUE!</v>
      </c>
      <c r="O360" t="s">
        <v>15</v>
      </c>
      <c r="P360" t="e">
        <f t="shared" si="31"/>
        <v>#VALUE!</v>
      </c>
      <c r="Q360" s="1" t="e">
        <f>((P360-O360)/P360)</f>
        <v>#VALUE!</v>
      </c>
    </row>
    <row r="361" spans="1:18" x14ac:dyDescent="0.25">
      <c r="A361" s="5" t="s">
        <v>209</v>
      </c>
      <c r="B361" t="s">
        <v>11</v>
      </c>
      <c r="C361" t="s">
        <v>12</v>
      </c>
      <c r="D361" t="s">
        <v>13</v>
      </c>
      <c r="E361" s="5" t="s">
        <v>14</v>
      </c>
      <c r="F361" t="s">
        <v>15</v>
      </c>
      <c r="G361" t="s">
        <v>15</v>
      </c>
      <c r="H361" s="6">
        <v>32</v>
      </c>
      <c r="I361" s="5" t="s">
        <v>17</v>
      </c>
      <c r="J361" s="5" t="s">
        <v>17</v>
      </c>
      <c r="K361" s="3">
        <v>36843</v>
      </c>
      <c r="L361" s="3">
        <v>43692</v>
      </c>
      <c r="M361" s="2">
        <f t="shared" si="29"/>
        <v>18.764383561643836</v>
      </c>
      <c r="N361" t="e">
        <f t="shared" si="30"/>
        <v>#VALUE!</v>
      </c>
      <c r="O361" t="s">
        <v>15</v>
      </c>
      <c r="P361" t="e">
        <f t="shared" si="31"/>
        <v>#VALUE!</v>
      </c>
      <c r="Q361" s="1" t="e">
        <f>((P361-O361)/P361)</f>
        <v>#VALUE!</v>
      </c>
    </row>
    <row r="362" spans="1:18" x14ac:dyDescent="0.25">
      <c r="A362" s="5" t="s">
        <v>209</v>
      </c>
      <c r="B362" t="s">
        <v>11</v>
      </c>
      <c r="C362" t="s">
        <v>296</v>
      </c>
      <c r="D362" t="s">
        <v>24</v>
      </c>
      <c r="E362" s="5" t="s">
        <v>14</v>
      </c>
      <c r="F362" t="s">
        <v>15</v>
      </c>
      <c r="G362" t="s">
        <v>15</v>
      </c>
      <c r="H362" s="6">
        <v>33</v>
      </c>
      <c r="I362" s="5" t="s">
        <v>17</v>
      </c>
      <c r="J362" s="5" t="s">
        <v>17</v>
      </c>
      <c r="K362" s="3">
        <v>35961</v>
      </c>
      <c r="L362" s="3">
        <v>43682</v>
      </c>
      <c r="M362" s="2">
        <f t="shared" si="29"/>
        <v>21.153424657534245</v>
      </c>
      <c r="N362" t="e">
        <f t="shared" si="30"/>
        <v>#VALUE!</v>
      </c>
      <c r="O362" t="s">
        <v>15</v>
      </c>
      <c r="P362" t="e">
        <f t="shared" si="31"/>
        <v>#VALUE!</v>
      </c>
      <c r="Q362" s="1" t="e">
        <f>((P362-O362)/P362)</f>
        <v>#VALUE!</v>
      </c>
    </row>
    <row r="363" spans="1:18" x14ac:dyDescent="0.25">
      <c r="A363" s="5" t="s">
        <v>209</v>
      </c>
      <c r="B363" t="s">
        <v>11</v>
      </c>
      <c r="C363" t="s">
        <v>18</v>
      </c>
      <c r="D363" t="s">
        <v>19</v>
      </c>
      <c r="E363" s="4" t="s">
        <v>14</v>
      </c>
      <c r="F363" t="s">
        <v>15</v>
      </c>
      <c r="G363" t="s">
        <v>15</v>
      </c>
      <c r="H363" s="6">
        <v>31</v>
      </c>
      <c r="I363" s="5" t="s">
        <v>17</v>
      </c>
      <c r="J363" s="5" t="s">
        <v>17</v>
      </c>
      <c r="K363" s="3">
        <v>36843</v>
      </c>
      <c r="L363" s="3">
        <v>43682</v>
      </c>
      <c r="M363" s="2">
        <f t="shared" si="29"/>
        <v>18.736986301369864</v>
      </c>
      <c r="N363" t="e">
        <f t="shared" si="30"/>
        <v>#VALUE!</v>
      </c>
      <c r="O363" t="s">
        <v>15</v>
      </c>
      <c r="P363" t="e">
        <f t="shared" si="31"/>
        <v>#VALUE!</v>
      </c>
      <c r="Q363" s="1" t="e">
        <f>((P363-O363)/P363)</f>
        <v>#VALUE!</v>
      </c>
    </row>
    <row r="364" spans="1:18" x14ac:dyDescent="0.25">
      <c r="A364" s="5" t="s">
        <v>209</v>
      </c>
      <c r="B364" t="s">
        <v>11</v>
      </c>
      <c r="C364" t="s">
        <v>20</v>
      </c>
      <c r="D364" t="s">
        <v>21</v>
      </c>
      <c r="E364" t="s">
        <v>22</v>
      </c>
      <c r="F364" t="s">
        <v>23</v>
      </c>
      <c r="G364" s="2">
        <v>2.09</v>
      </c>
      <c r="H364">
        <v>35</v>
      </c>
      <c r="I364" t="s">
        <v>16</v>
      </c>
      <c r="J364" t="s">
        <v>16</v>
      </c>
      <c r="K364" s="3">
        <v>36843</v>
      </c>
      <c r="L364" s="3">
        <v>45158</v>
      </c>
      <c r="M364" s="2">
        <f t="shared" si="29"/>
        <v>22.780821917808218</v>
      </c>
      <c r="N364">
        <f t="shared" si="30"/>
        <v>47.611917808219175</v>
      </c>
      <c r="O364">
        <v>275</v>
      </c>
      <c r="P364">
        <f t="shared" si="31"/>
        <v>322.61191780821918</v>
      </c>
      <c r="Q364" s="1">
        <f>((P364-O364)/O364)</f>
        <v>0.17313424657534246</v>
      </c>
      <c r="R364" t="s">
        <v>142</v>
      </c>
    </row>
    <row r="365" spans="1:18" x14ac:dyDescent="0.25">
      <c r="A365" s="5" t="s">
        <v>209</v>
      </c>
      <c r="B365" t="s">
        <v>11</v>
      </c>
      <c r="C365" t="s">
        <v>25</v>
      </c>
      <c r="D365" t="s">
        <v>24</v>
      </c>
      <c r="E365" s="4" t="s">
        <v>40</v>
      </c>
      <c r="F365" t="s">
        <v>23</v>
      </c>
      <c r="G365" s="5">
        <v>2.9100000000000003E-4</v>
      </c>
      <c r="H365" s="6">
        <v>28</v>
      </c>
      <c r="I365" s="5" t="s">
        <v>31</v>
      </c>
      <c r="J365" s="5" t="s">
        <v>16</v>
      </c>
      <c r="K365" s="3">
        <v>35961</v>
      </c>
      <c r="L365" s="3">
        <v>43682</v>
      </c>
      <c r="M365" s="2">
        <f t="shared" si="29"/>
        <v>21.153424657534245</v>
      </c>
      <c r="N365">
        <f t="shared" si="30"/>
        <v>6.1556465753424662E-3</v>
      </c>
      <c r="O365">
        <v>1.2E-2</v>
      </c>
      <c r="P365">
        <f t="shared" si="31"/>
        <v>1.8155646575342466E-2</v>
      </c>
      <c r="Q365" s="1">
        <f>((P365-O365)/O365)</f>
        <v>0.51297054794520547</v>
      </c>
    </row>
    <row r="366" spans="1:18" x14ac:dyDescent="0.25">
      <c r="A366" s="5" t="s">
        <v>209</v>
      </c>
      <c r="B366" t="s">
        <v>11</v>
      </c>
      <c r="C366" t="s">
        <v>26</v>
      </c>
      <c r="D366" t="s">
        <v>27</v>
      </c>
      <c r="E366" s="5" t="s">
        <v>14</v>
      </c>
      <c r="F366" t="s">
        <v>15</v>
      </c>
      <c r="G366" t="s">
        <v>15</v>
      </c>
      <c r="H366" s="6">
        <v>31</v>
      </c>
      <c r="I366" s="5" t="s">
        <v>17</v>
      </c>
      <c r="J366" s="5" t="s">
        <v>16</v>
      </c>
      <c r="K366" s="3">
        <v>36843</v>
      </c>
      <c r="L366" s="3">
        <v>43682</v>
      </c>
      <c r="M366" s="2">
        <f t="shared" si="29"/>
        <v>18.736986301369864</v>
      </c>
      <c r="N366" t="e">
        <f t="shared" si="30"/>
        <v>#VALUE!</v>
      </c>
      <c r="O366" t="s">
        <v>15</v>
      </c>
      <c r="P366" t="e">
        <f t="shared" si="31"/>
        <v>#VALUE!</v>
      </c>
      <c r="Q366" s="1" t="e">
        <f>((P366-O366)/P366)</f>
        <v>#VALUE!</v>
      </c>
    </row>
    <row r="367" spans="1:18" x14ac:dyDescent="0.25">
      <c r="A367" s="5" t="s">
        <v>214</v>
      </c>
      <c r="B367" t="s">
        <v>11</v>
      </c>
      <c r="C367" t="s">
        <v>12</v>
      </c>
      <c r="D367" t="s">
        <v>13</v>
      </c>
      <c r="E367" s="4" t="s">
        <v>22</v>
      </c>
      <c r="F367" t="s">
        <v>23</v>
      </c>
      <c r="G367" s="6">
        <v>1.9059999999999999</v>
      </c>
      <c r="H367" s="6">
        <v>22</v>
      </c>
      <c r="I367" s="5" t="s">
        <v>16</v>
      </c>
      <c r="J367" s="5" t="s">
        <v>17</v>
      </c>
      <c r="K367" s="3">
        <v>36822</v>
      </c>
      <c r="L367" s="3">
        <v>43304</v>
      </c>
      <c r="M367" s="2">
        <f t="shared" si="29"/>
        <v>17.758904109589039</v>
      </c>
      <c r="N367">
        <f t="shared" si="30"/>
        <v>33.848471232876705</v>
      </c>
      <c r="O367">
        <v>15</v>
      </c>
      <c r="P367">
        <f t="shared" si="31"/>
        <v>48.848471232876705</v>
      </c>
      <c r="Q367" s="1">
        <f>((P367-O367)/O367)</f>
        <v>2.2565647488584468</v>
      </c>
      <c r="R367" t="s">
        <v>143</v>
      </c>
    </row>
    <row r="368" spans="1:18" x14ac:dyDescent="0.25">
      <c r="A368" s="5" t="s">
        <v>214</v>
      </c>
      <c r="B368" t="s">
        <v>11</v>
      </c>
      <c r="C368" t="s">
        <v>296</v>
      </c>
      <c r="D368" t="s">
        <v>24</v>
      </c>
      <c r="E368" t="s">
        <v>14</v>
      </c>
      <c r="F368" t="s">
        <v>15</v>
      </c>
      <c r="G368" t="s">
        <v>15</v>
      </c>
      <c r="H368" s="6">
        <v>21</v>
      </c>
      <c r="I368" s="5" t="s">
        <v>16</v>
      </c>
      <c r="J368" s="5" t="s">
        <v>17</v>
      </c>
      <c r="K368" s="3">
        <v>35954</v>
      </c>
      <c r="L368" s="3">
        <v>43304</v>
      </c>
      <c r="M368" s="2">
        <f t="shared" si="29"/>
        <v>20.136986301369863</v>
      </c>
      <c r="N368" t="e">
        <f t="shared" si="30"/>
        <v>#VALUE!</v>
      </c>
      <c r="O368" t="s">
        <v>15</v>
      </c>
      <c r="P368" t="e">
        <f t="shared" si="31"/>
        <v>#VALUE!</v>
      </c>
      <c r="Q368" s="1" t="e">
        <f t="shared" ref="Q368:Q373" si="33">((P368-O368)/P368)</f>
        <v>#VALUE!</v>
      </c>
      <c r="R368" t="s">
        <v>166</v>
      </c>
    </row>
    <row r="369" spans="1:18" x14ac:dyDescent="0.25">
      <c r="A369" s="5" t="s">
        <v>214</v>
      </c>
      <c r="B369" t="s">
        <v>11</v>
      </c>
      <c r="C369" t="s">
        <v>18</v>
      </c>
      <c r="D369" t="s">
        <v>19</v>
      </c>
      <c r="E369" s="5" t="s">
        <v>14</v>
      </c>
      <c r="F369" t="s">
        <v>15</v>
      </c>
      <c r="G369" t="s">
        <v>15</v>
      </c>
      <c r="H369" s="6">
        <v>20</v>
      </c>
      <c r="I369" s="5" t="s">
        <v>17</v>
      </c>
      <c r="J369" s="5" t="s">
        <v>17</v>
      </c>
      <c r="K369" s="3">
        <v>36822</v>
      </c>
      <c r="L369" s="3">
        <v>43304</v>
      </c>
      <c r="M369" s="2">
        <f t="shared" si="29"/>
        <v>17.758904109589039</v>
      </c>
      <c r="N369" t="e">
        <f t="shared" si="30"/>
        <v>#VALUE!</v>
      </c>
      <c r="O369" t="s">
        <v>15</v>
      </c>
      <c r="P369" t="e">
        <f t="shared" si="31"/>
        <v>#VALUE!</v>
      </c>
      <c r="Q369" s="1" t="e">
        <f t="shared" si="33"/>
        <v>#VALUE!</v>
      </c>
    </row>
    <row r="370" spans="1:18" x14ac:dyDescent="0.25">
      <c r="A370" s="5" t="s">
        <v>214</v>
      </c>
      <c r="B370" t="s">
        <v>11</v>
      </c>
      <c r="C370" t="s">
        <v>20</v>
      </c>
      <c r="D370" t="s">
        <v>21</v>
      </c>
      <c r="E370" t="s">
        <v>14</v>
      </c>
      <c r="F370" t="s">
        <v>15</v>
      </c>
      <c r="G370" s="2" t="s">
        <v>15</v>
      </c>
      <c r="H370">
        <v>25</v>
      </c>
      <c r="I370" t="s">
        <v>16</v>
      </c>
      <c r="J370" t="s">
        <v>17</v>
      </c>
      <c r="K370" s="3">
        <v>36822</v>
      </c>
      <c r="L370" s="3">
        <v>45201</v>
      </c>
      <c r="M370" s="2">
        <f t="shared" si="29"/>
        <v>22.956164383561642</v>
      </c>
      <c r="N370" t="e">
        <f t="shared" si="30"/>
        <v>#VALUE!</v>
      </c>
      <c r="O370" t="s">
        <v>15</v>
      </c>
      <c r="P370" t="e">
        <f t="shared" si="31"/>
        <v>#VALUE!</v>
      </c>
      <c r="Q370" s="1" t="e">
        <f t="shared" si="33"/>
        <v>#VALUE!</v>
      </c>
    </row>
    <row r="371" spans="1:18" x14ac:dyDescent="0.25">
      <c r="A371" s="5" t="s">
        <v>214</v>
      </c>
      <c r="B371" t="s">
        <v>11</v>
      </c>
      <c r="C371" t="s">
        <v>25</v>
      </c>
      <c r="D371" t="s">
        <v>24</v>
      </c>
      <c r="E371" s="5" t="s">
        <v>14</v>
      </c>
      <c r="F371" t="s">
        <v>15</v>
      </c>
      <c r="G371" t="s">
        <v>15</v>
      </c>
      <c r="H371" s="6">
        <v>21</v>
      </c>
      <c r="I371" s="5" t="s">
        <v>16</v>
      </c>
      <c r="J371" s="5" t="s">
        <v>17</v>
      </c>
      <c r="K371" s="3">
        <v>35954</v>
      </c>
      <c r="L371" s="3">
        <v>43304</v>
      </c>
      <c r="M371" s="2">
        <f t="shared" si="29"/>
        <v>20.136986301369863</v>
      </c>
      <c r="N371" t="e">
        <f t="shared" si="30"/>
        <v>#VALUE!</v>
      </c>
      <c r="O371" t="s">
        <v>15</v>
      </c>
      <c r="P371" t="e">
        <f t="shared" si="31"/>
        <v>#VALUE!</v>
      </c>
      <c r="Q371" s="1" t="e">
        <f t="shared" si="33"/>
        <v>#VALUE!</v>
      </c>
    </row>
    <row r="372" spans="1:18" x14ac:dyDescent="0.25">
      <c r="A372" s="5" t="s">
        <v>214</v>
      </c>
      <c r="B372" t="s">
        <v>11</v>
      </c>
      <c r="C372" t="s">
        <v>26</v>
      </c>
      <c r="D372" t="s">
        <v>27</v>
      </c>
      <c r="E372" s="5" t="s">
        <v>14</v>
      </c>
      <c r="F372" t="s">
        <v>15</v>
      </c>
      <c r="G372" t="s">
        <v>15</v>
      </c>
      <c r="H372" s="6">
        <v>20</v>
      </c>
      <c r="I372" s="5" t="s">
        <v>16</v>
      </c>
      <c r="J372" s="5" t="s">
        <v>17</v>
      </c>
      <c r="K372" s="3">
        <v>36822</v>
      </c>
      <c r="L372" s="3">
        <v>43304</v>
      </c>
      <c r="M372" s="2">
        <f t="shared" si="29"/>
        <v>17.758904109589039</v>
      </c>
      <c r="N372" t="e">
        <f t="shared" si="30"/>
        <v>#VALUE!</v>
      </c>
      <c r="O372" t="s">
        <v>15</v>
      </c>
      <c r="P372" t="e">
        <f t="shared" si="31"/>
        <v>#VALUE!</v>
      </c>
      <c r="Q372" s="1" t="e">
        <f t="shared" si="33"/>
        <v>#VALUE!</v>
      </c>
    </row>
    <row r="373" spans="1:18" x14ac:dyDescent="0.25">
      <c r="A373" t="s">
        <v>90</v>
      </c>
      <c r="B373" t="s">
        <v>11</v>
      </c>
      <c r="C373" t="s">
        <v>12</v>
      </c>
      <c r="D373" t="s">
        <v>13</v>
      </c>
      <c r="E373" t="s">
        <v>14</v>
      </c>
      <c r="F373" t="s">
        <v>15</v>
      </c>
      <c r="G373" t="s">
        <v>15</v>
      </c>
      <c r="H373">
        <v>28</v>
      </c>
      <c r="I373" t="s">
        <v>17</v>
      </c>
      <c r="J373" t="s">
        <v>33</v>
      </c>
      <c r="K373" s="3">
        <v>38322</v>
      </c>
      <c r="L373" s="3">
        <v>44895</v>
      </c>
      <c r="M373" s="2">
        <f t="shared" si="29"/>
        <v>18.008219178082193</v>
      </c>
      <c r="N373" t="e">
        <f t="shared" si="30"/>
        <v>#VALUE!</v>
      </c>
      <c r="O373" t="s">
        <v>15</v>
      </c>
      <c r="P373" t="e">
        <f t="shared" si="31"/>
        <v>#VALUE!</v>
      </c>
      <c r="Q373" s="1" t="e">
        <f t="shared" si="33"/>
        <v>#VALUE!</v>
      </c>
    </row>
    <row r="374" spans="1:18" x14ac:dyDescent="0.25">
      <c r="A374" t="s">
        <v>90</v>
      </c>
      <c r="B374" t="s">
        <v>11</v>
      </c>
      <c r="C374" t="s">
        <v>296</v>
      </c>
      <c r="D374" t="s">
        <v>24</v>
      </c>
      <c r="E374" s="4" t="s">
        <v>22</v>
      </c>
      <c r="F374" t="s">
        <v>23</v>
      </c>
      <c r="G374">
        <v>1.461E-2</v>
      </c>
      <c r="H374">
        <v>31</v>
      </c>
      <c r="I374" t="s">
        <v>16</v>
      </c>
      <c r="J374" t="s">
        <v>17</v>
      </c>
      <c r="K374" s="3">
        <v>37172</v>
      </c>
      <c r="L374" s="3">
        <v>44895</v>
      </c>
      <c r="M374" s="2">
        <f t="shared" si="29"/>
        <v>21.158904109589042</v>
      </c>
      <c r="N374">
        <f t="shared" si="30"/>
        <v>0.30913158904109589</v>
      </c>
      <c r="O374">
        <v>0.45</v>
      </c>
      <c r="P374">
        <f t="shared" si="31"/>
        <v>0.7591315890410959</v>
      </c>
      <c r="Q374" s="1">
        <f>((P374-O374)/O374)</f>
        <v>0.68695908675799089</v>
      </c>
      <c r="R374" t="s">
        <v>142</v>
      </c>
    </row>
    <row r="375" spans="1:18" x14ac:dyDescent="0.25">
      <c r="A375" t="s">
        <v>90</v>
      </c>
      <c r="B375" t="s">
        <v>11</v>
      </c>
      <c r="C375" t="s">
        <v>18</v>
      </c>
      <c r="D375" t="s">
        <v>19</v>
      </c>
      <c r="E375" s="5" t="s">
        <v>14</v>
      </c>
      <c r="F375" t="s">
        <v>15</v>
      </c>
      <c r="G375" t="s">
        <v>15</v>
      </c>
      <c r="H375">
        <v>24</v>
      </c>
      <c r="I375" t="s">
        <v>17</v>
      </c>
      <c r="J375" t="s">
        <v>17</v>
      </c>
      <c r="K375" s="3">
        <v>37264</v>
      </c>
      <c r="L375" s="3">
        <v>44895</v>
      </c>
      <c r="M375" s="2">
        <f t="shared" si="29"/>
        <v>20.906849315068492</v>
      </c>
      <c r="N375" t="e">
        <f t="shared" si="30"/>
        <v>#VALUE!</v>
      </c>
      <c r="O375" t="s">
        <v>15</v>
      </c>
      <c r="P375" t="e">
        <f t="shared" si="31"/>
        <v>#VALUE!</v>
      </c>
      <c r="Q375" s="1" t="e">
        <f t="shared" ref="Q375:Q385" si="34">((P375-O375)/P375)</f>
        <v>#VALUE!</v>
      </c>
      <c r="R375" t="s">
        <v>165</v>
      </c>
    </row>
    <row r="376" spans="1:18" x14ac:dyDescent="0.25">
      <c r="A376" t="s">
        <v>90</v>
      </c>
      <c r="B376" t="s">
        <v>11</v>
      </c>
      <c r="C376" t="s">
        <v>20</v>
      </c>
      <c r="D376" t="s">
        <v>21</v>
      </c>
      <c r="E376" t="s">
        <v>14</v>
      </c>
      <c r="F376" t="s">
        <v>15</v>
      </c>
      <c r="G376" s="2" t="s">
        <v>15</v>
      </c>
      <c r="H376">
        <v>27</v>
      </c>
      <c r="I376" t="s">
        <v>16</v>
      </c>
      <c r="J376" t="s">
        <v>16</v>
      </c>
      <c r="K376" s="3">
        <v>37172</v>
      </c>
      <c r="L376" s="3">
        <v>43717</v>
      </c>
      <c r="M376" s="2">
        <f t="shared" si="29"/>
        <v>17.931506849315067</v>
      </c>
      <c r="N376" t="e">
        <f t="shared" si="30"/>
        <v>#VALUE!</v>
      </c>
      <c r="O376" t="s">
        <v>15</v>
      </c>
      <c r="P376" t="e">
        <f t="shared" si="31"/>
        <v>#VALUE!</v>
      </c>
      <c r="Q376" s="1" t="e">
        <f t="shared" si="34"/>
        <v>#VALUE!</v>
      </c>
    </row>
    <row r="377" spans="1:18" x14ac:dyDescent="0.25">
      <c r="A377" t="s">
        <v>90</v>
      </c>
      <c r="B377" t="s">
        <v>11</v>
      </c>
      <c r="C377" t="s">
        <v>25</v>
      </c>
      <c r="D377" t="s">
        <v>24</v>
      </c>
      <c r="E377" t="s">
        <v>14</v>
      </c>
      <c r="F377" t="s">
        <v>15</v>
      </c>
      <c r="G377" t="s">
        <v>15</v>
      </c>
      <c r="H377">
        <v>28</v>
      </c>
      <c r="I377" t="s">
        <v>17</v>
      </c>
      <c r="J377" t="s">
        <v>33</v>
      </c>
      <c r="K377" s="3">
        <v>37172</v>
      </c>
      <c r="L377" s="3">
        <v>44895</v>
      </c>
      <c r="M377" s="2">
        <f t="shared" si="29"/>
        <v>21.158904109589042</v>
      </c>
      <c r="N377" t="e">
        <f t="shared" si="30"/>
        <v>#VALUE!</v>
      </c>
      <c r="O377" t="s">
        <v>15</v>
      </c>
      <c r="P377" t="e">
        <f t="shared" si="31"/>
        <v>#VALUE!</v>
      </c>
      <c r="Q377" s="1" t="e">
        <f t="shared" si="34"/>
        <v>#VALUE!</v>
      </c>
      <c r="R377" t="s">
        <v>171</v>
      </c>
    </row>
    <row r="378" spans="1:18" x14ac:dyDescent="0.25">
      <c r="A378" t="s">
        <v>90</v>
      </c>
      <c r="B378" t="s">
        <v>11</v>
      </c>
      <c r="C378" t="s">
        <v>26</v>
      </c>
      <c r="D378" t="s">
        <v>27</v>
      </c>
      <c r="E378" t="s">
        <v>14</v>
      </c>
      <c r="F378" t="s">
        <v>15</v>
      </c>
      <c r="G378" t="s">
        <v>15</v>
      </c>
      <c r="H378">
        <v>31</v>
      </c>
      <c r="I378" t="s">
        <v>17</v>
      </c>
      <c r="J378" t="s">
        <v>17</v>
      </c>
      <c r="K378" s="3">
        <v>37172</v>
      </c>
      <c r="L378" s="3">
        <v>44895</v>
      </c>
      <c r="M378" s="2">
        <f t="shared" si="29"/>
        <v>21.158904109589042</v>
      </c>
      <c r="N378" t="e">
        <f t="shared" si="30"/>
        <v>#VALUE!</v>
      </c>
      <c r="O378" t="s">
        <v>15</v>
      </c>
      <c r="P378" t="e">
        <f t="shared" si="31"/>
        <v>#VALUE!</v>
      </c>
      <c r="Q378" s="1" t="e">
        <f t="shared" si="34"/>
        <v>#VALUE!</v>
      </c>
    </row>
    <row r="379" spans="1:18" x14ac:dyDescent="0.25">
      <c r="A379" t="s">
        <v>91</v>
      </c>
      <c r="B379" t="s">
        <v>11</v>
      </c>
      <c r="C379" t="s">
        <v>12</v>
      </c>
      <c r="D379" t="s">
        <v>13</v>
      </c>
      <c r="E379" t="s">
        <v>14</v>
      </c>
      <c r="F379" t="s">
        <v>15</v>
      </c>
      <c r="G379" t="s">
        <v>15</v>
      </c>
      <c r="H379">
        <v>25</v>
      </c>
      <c r="I379" t="s">
        <v>33</v>
      </c>
      <c r="J379" t="s">
        <v>17</v>
      </c>
      <c r="K379" s="3">
        <v>38313</v>
      </c>
      <c r="L379" s="3">
        <v>44453</v>
      </c>
      <c r="M379" s="2">
        <f t="shared" si="29"/>
        <v>16.82191780821918</v>
      </c>
      <c r="N379" t="e">
        <f t="shared" si="30"/>
        <v>#VALUE!</v>
      </c>
      <c r="O379" t="s">
        <v>15</v>
      </c>
      <c r="P379" t="e">
        <f t="shared" si="31"/>
        <v>#VALUE!</v>
      </c>
      <c r="Q379" s="1" t="e">
        <f t="shared" si="34"/>
        <v>#VALUE!</v>
      </c>
    </row>
    <row r="380" spans="1:18" x14ac:dyDescent="0.25">
      <c r="A380" t="s">
        <v>91</v>
      </c>
      <c r="B380" t="s">
        <v>11</v>
      </c>
      <c r="C380" t="s">
        <v>296</v>
      </c>
      <c r="D380" t="s">
        <v>24</v>
      </c>
      <c r="E380" t="s">
        <v>14</v>
      </c>
      <c r="F380" t="s">
        <v>15</v>
      </c>
      <c r="G380" t="s">
        <v>15</v>
      </c>
      <c r="H380">
        <v>35</v>
      </c>
      <c r="I380" t="s">
        <v>16</v>
      </c>
      <c r="J380" t="s">
        <v>17</v>
      </c>
      <c r="K380" s="3">
        <v>35921</v>
      </c>
      <c r="L380" s="3">
        <v>44453</v>
      </c>
      <c r="M380" s="2">
        <f t="shared" si="29"/>
        <v>23.375342465753423</v>
      </c>
      <c r="N380" t="e">
        <f t="shared" si="30"/>
        <v>#VALUE!</v>
      </c>
      <c r="O380" t="s">
        <v>15</v>
      </c>
      <c r="P380" t="e">
        <f t="shared" si="31"/>
        <v>#VALUE!</v>
      </c>
      <c r="Q380" s="1" t="e">
        <f t="shared" si="34"/>
        <v>#VALUE!</v>
      </c>
      <c r="R380" t="s">
        <v>167</v>
      </c>
    </row>
    <row r="381" spans="1:18" x14ac:dyDescent="0.25">
      <c r="A381" t="s">
        <v>91</v>
      </c>
      <c r="B381" t="s">
        <v>11</v>
      </c>
      <c r="C381" t="s">
        <v>18</v>
      </c>
      <c r="D381" t="s">
        <v>19</v>
      </c>
      <c r="E381" t="s">
        <v>14</v>
      </c>
      <c r="F381" t="s">
        <v>15</v>
      </c>
      <c r="G381" t="s">
        <v>15</v>
      </c>
      <c r="H381">
        <v>22</v>
      </c>
      <c r="I381" t="s">
        <v>17</v>
      </c>
      <c r="J381" t="s">
        <v>33</v>
      </c>
      <c r="K381" s="3">
        <v>37172</v>
      </c>
      <c r="L381" s="3">
        <v>44453</v>
      </c>
      <c r="M381" s="2">
        <f t="shared" si="29"/>
        <v>19.947945205479453</v>
      </c>
      <c r="N381" t="e">
        <f t="shared" si="30"/>
        <v>#VALUE!</v>
      </c>
      <c r="O381" t="s">
        <v>15</v>
      </c>
      <c r="P381" t="e">
        <f t="shared" si="31"/>
        <v>#VALUE!</v>
      </c>
      <c r="Q381" s="1" t="e">
        <f t="shared" si="34"/>
        <v>#VALUE!</v>
      </c>
    </row>
    <row r="382" spans="1:18" x14ac:dyDescent="0.25">
      <c r="A382" t="s">
        <v>91</v>
      </c>
      <c r="B382" t="s">
        <v>11</v>
      </c>
      <c r="C382" t="s">
        <v>20</v>
      </c>
      <c r="D382" t="s">
        <v>21</v>
      </c>
      <c r="E382" t="s">
        <v>14</v>
      </c>
      <c r="F382" t="s">
        <v>15</v>
      </c>
      <c r="G382" s="2" t="s">
        <v>15</v>
      </c>
      <c r="H382">
        <v>38</v>
      </c>
      <c r="I382" t="s">
        <v>16</v>
      </c>
      <c r="J382" t="s">
        <v>16</v>
      </c>
      <c r="K382" s="3">
        <v>35921</v>
      </c>
      <c r="L382" s="3">
        <v>45216</v>
      </c>
      <c r="M382" s="2">
        <f t="shared" si="29"/>
        <v>25.465753424657535</v>
      </c>
      <c r="N382" t="e">
        <f t="shared" si="30"/>
        <v>#VALUE!</v>
      </c>
      <c r="O382" t="s">
        <v>15</v>
      </c>
      <c r="P382" t="e">
        <f t="shared" si="31"/>
        <v>#VALUE!</v>
      </c>
      <c r="Q382" s="1" t="e">
        <f t="shared" si="34"/>
        <v>#VALUE!</v>
      </c>
    </row>
    <row r="383" spans="1:18" x14ac:dyDescent="0.25">
      <c r="A383" t="s">
        <v>91</v>
      </c>
      <c r="B383" t="s">
        <v>11</v>
      </c>
      <c r="C383" t="s">
        <v>25</v>
      </c>
      <c r="D383" t="s">
        <v>24</v>
      </c>
      <c r="E383" t="s">
        <v>14</v>
      </c>
      <c r="F383" t="s">
        <v>15</v>
      </c>
      <c r="G383" t="s">
        <v>15</v>
      </c>
      <c r="H383">
        <v>34</v>
      </c>
      <c r="I383" t="s">
        <v>16</v>
      </c>
      <c r="J383" t="s">
        <v>17</v>
      </c>
      <c r="K383" s="3">
        <v>35921</v>
      </c>
      <c r="L383" s="3">
        <v>44453</v>
      </c>
      <c r="M383" s="2">
        <f t="shared" si="29"/>
        <v>23.375342465753423</v>
      </c>
      <c r="N383" t="e">
        <f t="shared" si="30"/>
        <v>#VALUE!</v>
      </c>
      <c r="O383" t="s">
        <v>15</v>
      </c>
      <c r="P383" t="e">
        <f t="shared" si="31"/>
        <v>#VALUE!</v>
      </c>
      <c r="Q383" s="1" t="e">
        <f t="shared" si="34"/>
        <v>#VALUE!</v>
      </c>
      <c r="R383" t="s">
        <v>171</v>
      </c>
    </row>
    <row r="384" spans="1:18" x14ac:dyDescent="0.25">
      <c r="A384" t="s">
        <v>91</v>
      </c>
      <c r="B384" t="s">
        <v>11</v>
      </c>
      <c r="C384" t="s">
        <v>26</v>
      </c>
      <c r="D384" t="s">
        <v>27</v>
      </c>
      <c r="E384" t="s">
        <v>14</v>
      </c>
      <c r="F384" t="s">
        <v>15</v>
      </c>
      <c r="G384" t="s">
        <v>15</v>
      </c>
      <c r="H384">
        <v>29</v>
      </c>
      <c r="I384" t="s">
        <v>17</v>
      </c>
      <c r="J384" t="s">
        <v>17</v>
      </c>
      <c r="K384" s="3">
        <v>37172</v>
      </c>
      <c r="L384" s="3">
        <v>44453</v>
      </c>
      <c r="M384" s="2">
        <f t="shared" si="29"/>
        <v>19.947945205479453</v>
      </c>
      <c r="N384" t="e">
        <f t="shared" si="30"/>
        <v>#VALUE!</v>
      </c>
      <c r="O384" t="s">
        <v>15</v>
      </c>
      <c r="P384" t="e">
        <f t="shared" si="31"/>
        <v>#VALUE!</v>
      </c>
      <c r="Q384" s="1" t="e">
        <f t="shared" si="34"/>
        <v>#VALUE!</v>
      </c>
      <c r="R384" t="s">
        <v>195</v>
      </c>
    </row>
    <row r="385" spans="1:18" x14ac:dyDescent="0.25">
      <c r="A385" t="s">
        <v>92</v>
      </c>
      <c r="B385" t="s">
        <v>11</v>
      </c>
      <c r="C385" t="s">
        <v>12</v>
      </c>
      <c r="D385" t="s">
        <v>13</v>
      </c>
      <c r="E385" t="s">
        <v>14</v>
      </c>
      <c r="F385" t="s">
        <v>23</v>
      </c>
      <c r="G385" t="s">
        <v>15</v>
      </c>
      <c r="H385">
        <v>25</v>
      </c>
      <c r="I385" t="s">
        <v>17</v>
      </c>
      <c r="J385" t="s">
        <v>31</v>
      </c>
      <c r="K385" s="3">
        <v>37732</v>
      </c>
      <c r="L385" s="3">
        <v>43675</v>
      </c>
      <c r="M385" s="2">
        <f t="shared" si="29"/>
        <v>16.282191780821918</v>
      </c>
      <c r="N385" t="e">
        <f t="shared" si="30"/>
        <v>#VALUE!</v>
      </c>
      <c r="O385" t="s">
        <v>15</v>
      </c>
      <c r="P385" t="e">
        <f t="shared" si="31"/>
        <v>#VALUE!</v>
      </c>
      <c r="Q385" s="1" t="e">
        <f t="shared" si="34"/>
        <v>#VALUE!</v>
      </c>
      <c r="R385" t="s">
        <v>133</v>
      </c>
    </row>
    <row r="386" spans="1:18" x14ac:dyDescent="0.25">
      <c r="A386" t="s">
        <v>92</v>
      </c>
      <c r="B386" t="s">
        <v>11</v>
      </c>
      <c r="C386" t="s">
        <v>296</v>
      </c>
      <c r="D386" t="s">
        <v>24</v>
      </c>
      <c r="E386" s="4" t="s">
        <v>22</v>
      </c>
      <c r="F386" t="s">
        <v>23</v>
      </c>
      <c r="G386">
        <v>1.9630000000000002E-2</v>
      </c>
      <c r="H386">
        <v>30</v>
      </c>
      <c r="I386" t="s">
        <v>17</v>
      </c>
      <c r="J386" t="s">
        <v>17</v>
      </c>
      <c r="K386" s="3">
        <v>36473</v>
      </c>
      <c r="L386" s="3">
        <v>43675</v>
      </c>
      <c r="M386" s="2">
        <f t="shared" si="29"/>
        <v>19.731506849315068</v>
      </c>
      <c r="N386">
        <f t="shared" si="30"/>
        <v>0.38732947945205481</v>
      </c>
      <c r="O386">
        <v>0.45</v>
      </c>
      <c r="P386">
        <f t="shared" si="31"/>
        <v>0.83732947945205483</v>
      </c>
      <c r="Q386" s="1">
        <f>((P386-O386)/O386)</f>
        <v>0.8607321765601218</v>
      </c>
      <c r="R386" t="s">
        <v>162</v>
      </c>
    </row>
    <row r="387" spans="1:18" x14ac:dyDescent="0.25">
      <c r="A387" t="s">
        <v>92</v>
      </c>
      <c r="B387" t="s">
        <v>11</v>
      </c>
      <c r="C387" t="s">
        <v>18</v>
      </c>
      <c r="D387" t="s">
        <v>19</v>
      </c>
      <c r="E387" t="s">
        <v>14</v>
      </c>
      <c r="F387" t="s">
        <v>15</v>
      </c>
      <c r="G387" t="s">
        <v>15</v>
      </c>
      <c r="H387">
        <v>25</v>
      </c>
      <c r="I387" t="s">
        <v>17</v>
      </c>
      <c r="J387" t="s">
        <v>17</v>
      </c>
      <c r="K387" s="3">
        <v>38278</v>
      </c>
      <c r="L387" s="3">
        <v>43675</v>
      </c>
      <c r="M387" s="2">
        <f t="shared" si="29"/>
        <v>14.786301369863013</v>
      </c>
      <c r="N387" t="e">
        <f t="shared" si="30"/>
        <v>#VALUE!</v>
      </c>
      <c r="O387" t="s">
        <v>15</v>
      </c>
      <c r="P387" t="e">
        <f t="shared" si="31"/>
        <v>#VALUE!</v>
      </c>
      <c r="Q387" s="1" t="e">
        <f>((P387-O387)/P387)</f>
        <v>#VALUE!</v>
      </c>
    </row>
    <row r="388" spans="1:18" x14ac:dyDescent="0.25">
      <c r="A388" t="s">
        <v>92</v>
      </c>
      <c r="B388" t="s">
        <v>11</v>
      </c>
      <c r="C388" t="s">
        <v>20</v>
      </c>
      <c r="D388" t="s">
        <v>21</v>
      </c>
      <c r="E388" t="s">
        <v>14</v>
      </c>
      <c r="F388" t="s">
        <v>15</v>
      </c>
      <c r="G388" s="2" t="s">
        <v>15</v>
      </c>
      <c r="H388">
        <v>37</v>
      </c>
      <c r="I388" t="s">
        <v>31</v>
      </c>
      <c r="J388" t="s">
        <v>17</v>
      </c>
      <c r="K388" s="3">
        <v>36473</v>
      </c>
      <c r="L388" s="3">
        <v>45237</v>
      </c>
      <c r="M388" s="2">
        <f t="shared" si="29"/>
        <v>24.010958904109589</v>
      </c>
      <c r="N388" t="e">
        <f t="shared" si="30"/>
        <v>#VALUE!</v>
      </c>
      <c r="O388" t="s">
        <v>15</v>
      </c>
      <c r="P388" t="e">
        <f t="shared" si="31"/>
        <v>#VALUE!</v>
      </c>
      <c r="Q388" s="1" t="e">
        <f>((P388-O388)/P388)</f>
        <v>#VALUE!</v>
      </c>
    </row>
    <row r="389" spans="1:18" x14ac:dyDescent="0.25">
      <c r="A389" t="s">
        <v>92</v>
      </c>
      <c r="B389" t="s">
        <v>11</v>
      </c>
      <c r="C389" t="s">
        <v>25</v>
      </c>
      <c r="D389" t="s">
        <v>24</v>
      </c>
      <c r="E389" s="4" t="s">
        <v>22</v>
      </c>
      <c r="F389" t="s">
        <v>23</v>
      </c>
      <c r="G389">
        <v>1.691E-3</v>
      </c>
      <c r="H389">
        <v>30</v>
      </c>
      <c r="I389" t="s">
        <v>17</v>
      </c>
      <c r="J389" t="s">
        <v>17</v>
      </c>
      <c r="K389" s="3">
        <v>36473</v>
      </c>
      <c r="L389" s="3">
        <v>43675</v>
      </c>
      <c r="M389" s="2">
        <f t="shared" si="29"/>
        <v>19.731506849315068</v>
      </c>
      <c r="N389">
        <f t="shared" si="30"/>
        <v>3.3365978082191779E-2</v>
      </c>
      <c r="O389">
        <v>4.4999999999999998E-2</v>
      </c>
      <c r="P389">
        <f t="shared" si="31"/>
        <v>7.8365978082191784E-2</v>
      </c>
      <c r="Q389" s="1">
        <f>((P389-O389)/O389)</f>
        <v>0.74146617960426198</v>
      </c>
      <c r="R389" t="s">
        <v>142</v>
      </c>
    </row>
    <row r="390" spans="1:18" x14ac:dyDescent="0.25">
      <c r="A390" t="s">
        <v>92</v>
      </c>
      <c r="B390" t="s">
        <v>11</v>
      </c>
      <c r="C390" t="s">
        <v>26</v>
      </c>
      <c r="D390" t="s">
        <v>27</v>
      </c>
      <c r="E390" t="s">
        <v>14</v>
      </c>
      <c r="F390" t="s">
        <v>15</v>
      </c>
      <c r="G390" t="s">
        <v>15</v>
      </c>
      <c r="H390">
        <v>19</v>
      </c>
      <c r="I390" t="s">
        <v>17</v>
      </c>
      <c r="J390" t="s">
        <v>17</v>
      </c>
      <c r="K390" s="3">
        <v>38278</v>
      </c>
      <c r="L390" s="3">
        <v>43675</v>
      </c>
      <c r="M390" s="2">
        <f t="shared" si="29"/>
        <v>14.786301369863013</v>
      </c>
      <c r="N390" t="e">
        <f t="shared" si="30"/>
        <v>#VALUE!</v>
      </c>
      <c r="O390" t="s">
        <v>15</v>
      </c>
      <c r="P390" t="e">
        <f t="shared" si="31"/>
        <v>#VALUE!</v>
      </c>
      <c r="Q390" s="1" t="e">
        <f>((P390-O390)/P390)</f>
        <v>#VALUE!</v>
      </c>
      <c r="R390" t="s">
        <v>195</v>
      </c>
    </row>
    <row r="391" spans="1:18" x14ac:dyDescent="0.25">
      <c r="A391" t="s">
        <v>93</v>
      </c>
      <c r="B391" t="s">
        <v>11</v>
      </c>
      <c r="C391" t="s">
        <v>12</v>
      </c>
      <c r="D391" t="s">
        <v>13</v>
      </c>
      <c r="E391" s="4" t="s">
        <v>14</v>
      </c>
      <c r="F391" t="s">
        <v>15</v>
      </c>
      <c r="G391" t="s">
        <v>15</v>
      </c>
      <c r="H391">
        <v>27</v>
      </c>
      <c r="I391" t="s">
        <v>16</v>
      </c>
      <c r="J391" t="s">
        <v>17</v>
      </c>
      <c r="K391" s="3">
        <v>37873</v>
      </c>
      <c r="L391" s="3">
        <v>43647</v>
      </c>
      <c r="M391" s="2">
        <f t="shared" si="29"/>
        <v>15.819178082191781</v>
      </c>
      <c r="N391" t="e">
        <f t="shared" si="30"/>
        <v>#VALUE!</v>
      </c>
      <c r="O391" t="s">
        <v>15</v>
      </c>
      <c r="P391" t="e">
        <f t="shared" si="31"/>
        <v>#VALUE!</v>
      </c>
      <c r="Q391" s="1" t="e">
        <f>((P391-O391)/P391)</f>
        <v>#VALUE!</v>
      </c>
      <c r="R391" t="s">
        <v>133</v>
      </c>
    </row>
    <row r="392" spans="1:18" x14ac:dyDescent="0.25">
      <c r="A392" t="s">
        <v>93</v>
      </c>
      <c r="B392" t="s">
        <v>11</v>
      </c>
      <c r="C392" t="s">
        <v>296</v>
      </c>
      <c r="D392" t="s">
        <v>24</v>
      </c>
      <c r="E392" t="s">
        <v>14</v>
      </c>
      <c r="F392" t="s">
        <v>15</v>
      </c>
      <c r="G392" t="s">
        <v>15</v>
      </c>
      <c r="H392">
        <v>32</v>
      </c>
      <c r="I392" t="s">
        <v>16</v>
      </c>
      <c r="J392" t="s">
        <v>17</v>
      </c>
      <c r="K392" s="3">
        <v>37173</v>
      </c>
      <c r="L392" s="3">
        <v>43647</v>
      </c>
      <c r="M392" s="2">
        <f t="shared" ref="M392:M455" si="35">(L392-K392)/365</f>
        <v>17.736986301369864</v>
      </c>
      <c r="N392" t="e">
        <f t="shared" ref="N392:N455" si="36">G392*M392</f>
        <v>#VALUE!</v>
      </c>
      <c r="O392" t="s">
        <v>15</v>
      </c>
      <c r="P392" t="e">
        <f t="shared" ref="P392:P455" si="37">O392+N392</f>
        <v>#VALUE!</v>
      </c>
      <c r="Q392" s="1" t="e">
        <f>((P392-O392)/P392)</f>
        <v>#VALUE!</v>
      </c>
      <c r="R392" t="s">
        <v>167</v>
      </c>
    </row>
    <row r="393" spans="1:18" x14ac:dyDescent="0.25">
      <c r="A393" t="s">
        <v>93</v>
      </c>
      <c r="B393" t="s">
        <v>11</v>
      </c>
      <c r="C393" t="s">
        <v>18</v>
      </c>
      <c r="D393" t="s">
        <v>19</v>
      </c>
      <c r="E393" s="4" t="s">
        <v>38</v>
      </c>
      <c r="F393" t="s">
        <v>23</v>
      </c>
      <c r="G393">
        <v>0.67779999999999996</v>
      </c>
      <c r="H393">
        <v>30</v>
      </c>
      <c r="I393" t="s">
        <v>16</v>
      </c>
      <c r="J393" t="s">
        <v>17</v>
      </c>
      <c r="K393" s="3">
        <v>37265</v>
      </c>
      <c r="L393" s="3">
        <v>43647</v>
      </c>
      <c r="M393" s="2">
        <f t="shared" si="35"/>
        <v>17.484931506849314</v>
      </c>
      <c r="N393">
        <f t="shared" si="36"/>
        <v>11.851286575342465</v>
      </c>
      <c r="O393">
        <v>21</v>
      </c>
      <c r="P393">
        <f t="shared" si="37"/>
        <v>32.851286575342463</v>
      </c>
      <c r="Q393" s="1">
        <f>((P393-O393)/O393)</f>
        <v>0.56434697977821258</v>
      </c>
      <c r="R393" t="s">
        <v>144</v>
      </c>
    </row>
    <row r="394" spans="1:18" x14ac:dyDescent="0.25">
      <c r="A394" t="s">
        <v>93</v>
      </c>
      <c r="B394" t="s">
        <v>11</v>
      </c>
      <c r="C394" t="s">
        <v>20</v>
      </c>
      <c r="D394" t="s">
        <v>21</v>
      </c>
      <c r="E394" t="s">
        <v>14</v>
      </c>
      <c r="F394" t="s">
        <v>15</v>
      </c>
      <c r="G394" s="2" t="s">
        <v>15</v>
      </c>
      <c r="H394">
        <v>37</v>
      </c>
      <c r="I394" t="s">
        <v>16</v>
      </c>
      <c r="J394" t="s">
        <v>17</v>
      </c>
      <c r="K394" s="3">
        <v>35926</v>
      </c>
      <c r="L394" t="s">
        <v>200</v>
      </c>
      <c r="M394" s="2" t="e">
        <f t="shared" si="35"/>
        <v>#VALUE!</v>
      </c>
      <c r="N394" t="e">
        <f t="shared" si="36"/>
        <v>#VALUE!</v>
      </c>
      <c r="O394" t="s">
        <v>15</v>
      </c>
      <c r="P394" t="e">
        <f t="shared" si="37"/>
        <v>#VALUE!</v>
      </c>
      <c r="Q394" s="1" t="e">
        <f>((P394-O394)/P394)</f>
        <v>#VALUE!</v>
      </c>
      <c r="R394" t="s">
        <v>201</v>
      </c>
    </row>
    <row r="395" spans="1:18" x14ac:dyDescent="0.25">
      <c r="A395" t="s">
        <v>93</v>
      </c>
      <c r="B395" t="s">
        <v>11</v>
      </c>
      <c r="C395" t="s">
        <v>25</v>
      </c>
      <c r="D395" t="s">
        <v>24</v>
      </c>
      <c r="E395" s="4" t="s">
        <v>28</v>
      </c>
      <c r="F395" t="s">
        <v>29</v>
      </c>
      <c r="G395">
        <v>-3.519E-3</v>
      </c>
      <c r="H395">
        <v>32</v>
      </c>
      <c r="I395" t="s">
        <v>16</v>
      </c>
      <c r="J395" t="s">
        <v>17</v>
      </c>
      <c r="K395" s="3">
        <v>37173</v>
      </c>
      <c r="L395" s="3">
        <v>43647</v>
      </c>
      <c r="M395" s="2">
        <f t="shared" si="35"/>
        <v>17.736986301369864</v>
      </c>
      <c r="N395">
        <f t="shared" si="36"/>
        <v>-6.241645479452055E-2</v>
      </c>
      <c r="O395">
        <v>0.25</v>
      </c>
      <c r="P395">
        <f t="shared" si="37"/>
        <v>0.18758354520547946</v>
      </c>
      <c r="Q395" s="1">
        <f>((P395-O395)/O395)</f>
        <v>-0.24966581917808217</v>
      </c>
      <c r="R395" t="s">
        <v>170</v>
      </c>
    </row>
    <row r="396" spans="1:18" x14ac:dyDescent="0.25">
      <c r="A396" t="s">
        <v>93</v>
      </c>
      <c r="B396" t="s">
        <v>11</v>
      </c>
      <c r="C396" t="s">
        <v>26</v>
      </c>
      <c r="D396" t="s">
        <v>27</v>
      </c>
      <c r="E396" s="4" t="s">
        <v>32</v>
      </c>
      <c r="F396" t="s">
        <v>29</v>
      </c>
      <c r="G396">
        <v>-2.016</v>
      </c>
      <c r="H396">
        <v>31</v>
      </c>
      <c r="I396" t="s">
        <v>31</v>
      </c>
      <c r="J396" t="s">
        <v>17</v>
      </c>
      <c r="K396" s="3">
        <v>37173</v>
      </c>
      <c r="L396" s="3">
        <v>43647</v>
      </c>
      <c r="M396" s="2">
        <f t="shared" si="35"/>
        <v>17.736986301369864</v>
      </c>
      <c r="N396">
        <f t="shared" si="36"/>
        <v>-35.757764383561643</v>
      </c>
      <c r="O396">
        <v>50</v>
      </c>
      <c r="P396">
        <f t="shared" si="37"/>
        <v>14.242235616438357</v>
      </c>
      <c r="Q396" s="1">
        <f>((P396-O396)/O396)</f>
        <v>-0.71515528767123282</v>
      </c>
      <c r="R396" t="s">
        <v>144</v>
      </c>
    </row>
    <row r="397" spans="1:18" x14ac:dyDescent="0.25">
      <c r="A397" t="s">
        <v>289</v>
      </c>
      <c r="B397" t="s">
        <v>11</v>
      </c>
      <c r="C397" t="s">
        <v>12</v>
      </c>
      <c r="D397" t="s">
        <v>13</v>
      </c>
      <c r="E397" s="4" t="s">
        <v>22</v>
      </c>
      <c r="F397" t="s">
        <v>23</v>
      </c>
      <c r="G397">
        <v>0.43380000000000002</v>
      </c>
      <c r="H397">
        <v>27</v>
      </c>
      <c r="I397" t="s">
        <v>31</v>
      </c>
      <c r="J397" t="s">
        <v>16</v>
      </c>
      <c r="K397" s="3">
        <v>37566</v>
      </c>
      <c r="L397" s="3">
        <v>43875</v>
      </c>
      <c r="M397" s="2">
        <f t="shared" si="35"/>
        <v>17.284931506849315</v>
      </c>
      <c r="N397">
        <f t="shared" si="36"/>
        <v>7.4982032876712328</v>
      </c>
      <c r="O397">
        <v>3.5</v>
      </c>
      <c r="P397">
        <f t="shared" si="37"/>
        <v>10.998203287671233</v>
      </c>
      <c r="Q397" s="1">
        <f>((P397-O397)/O397)</f>
        <v>2.142343796477495</v>
      </c>
      <c r="R397" t="s">
        <v>144</v>
      </c>
    </row>
    <row r="398" spans="1:18" x14ac:dyDescent="0.25">
      <c r="A398" t="s">
        <v>289</v>
      </c>
      <c r="B398" t="s">
        <v>11</v>
      </c>
      <c r="C398" t="s">
        <v>296</v>
      </c>
      <c r="D398" t="s">
        <v>24</v>
      </c>
      <c r="E398" s="4" t="s">
        <v>22</v>
      </c>
      <c r="F398" t="s">
        <v>23</v>
      </c>
      <c r="G398">
        <v>1.5869999999999999E-2</v>
      </c>
      <c r="H398">
        <v>32</v>
      </c>
      <c r="I398" t="s">
        <v>16</v>
      </c>
      <c r="J398" t="s">
        <v>17</v>
      </c>
      <c r="K398" s="3">
        <v>35961</v>
      </c>
      <c r="L398" s="3">
        <v>43844</v>
      </c>
      <c r="M398" s="2">
        <f t="shared" si="35"/>
        <v>21.597260273972601</v>
      </c>
      <c r="N398">
        <f t="shared" si="36"/>
        <v>0.34274852054794513</v>
      </c>
      <c r="O398">
        <v>0.45</v>
      </c>
      <c r="P398">
        <f t="shared" si="37"/>
        <v>0.7927485205479452</v>
      </c>
      <c r="Q398" s="1">
        <f>((P398-O398)/O398)</f>
        <v>0.76166337899543368</v>
      </c>
      <c r="R398" t="s">
        <v>142</v>
      </c>
    </row>
    <row r="399" spans="1:18" x14ac:dyDescent="0.25">
      <c r="A399" t="s">
        <v>289</v>
      </c>
      <c r="B399" t="s">
        <v>11</v>
      </c>
      <c r="C399" t="s">
        <v>18</v>
      </c>
      <c r="D399" t="s">
        <v>19</v>
      </c>
      <c r="E399" t="s">
        <v>14</v>
      </c>
      <c r="F399" t="s">
        <v>15</v>
      </c>
      <c r="G399" t="s">
        <v>15</v>
      </c>
      <c r="H399">
        <v>32</v>
      </c>
      <c r="I399" t="s">
        <v>33</v>
      </c>
      <c r="J399" t="s">
        <v>17</v>
      </c>
      <c r="K399" s="3">
        <v>36845</v>
      </c>
      <c r="L399" s="3">
        <v>43844</v>
      </c>
      <c r="M399" s="2">
        <f t="shared" si="35"/>
        <v>19.175342465753424</v>
      </c>
      <c r="N399" t="e">
        <f t="shared" si="36"/>
        <v>#VALUE!</v>
      </c>
      <c r="O399" t="s">
        <v>15</v>
      </c>
      <c r="P399" t="e">
        <f t="shared" si="37"/>
        <v>#VALUE!</v>
      </c>
      <c r="Q399" s="1" t="e">
        <f t="shared" ref="Q399:Q408" si="38">((P399-O399)/P399)</f>
        <v>#VALUE!</v>
      </c>
    </row>
    <row r="400" spans="1:18" x14ac:dyDescent="0.25">
      <c r="A400" t="s">
        <v>289</v>
      </c>
      <c r="B400" t="s">
        <v>11</v>
      </c>
      <c r="C400" t="s">
        <v>20</v>
      </c>
      <c r="D400" t="s">
        <v>21</v>
      </c>
      <c r="E400" t="s">
        <v>14</v>
      </c>
      <c r="F400" t="s">
        <v>15</v>
      </c>
      <c r="G400" s="2" t="s">
        <v>15</v>
      </c>
      <c r="H400">
        <v>32</v>
      </c>
      <c r="I400" t="s">
        <v>16</v>
      </c>
      <c r="J400" t="s">
        <v>16</v>
      </c>
      <c r="K400" s="3">
        <v>36845</v>
      </c>
      <c r="L400" s="3">
        <v>43326</v>
      </c>
      <c r="M400" s="2">
        <f t="shared" si="35"/>
        <v>17.756164383561643</v>
      </c>
      <c r="N400" t="e">
        <f t="shared" si="36"/>
        <v>#VALUE!</v>
      </c>
      <c r="O400" t="s">
        <v>15</v>
      </c>
      <c r="P400" t="e">
        <f t="shared" si="37"/>
        <v>#VALUE!</v>
      </c>
      <c r="Q400" s="1" t="e">
        <f t="shared" si="38"/>
        <v>#VALUE!</v>
      </c>
      <c r="R400" t="s">
        <v>201</v>
      </c>
    </row>
    <row r="401" spans="1:18" x14ac:dyDescent="0.25">
      <c r="A401" t="s">
        <v>289</v>
      </c>
      <c r="B401" t="s">
        <v>11</v>
      </c>
      <c r="C401" t="s">
        <v>25</v>
      </c>
      <c r="D401" t="s">
        <v>24</v>
      </c>
      <c r="E401" t="s">
        <v>14</v>
      </c>
      <c r="F401" t="s">
        <v>15</v>
      </c>
      <c r="G401" t="s">
        <v>15</v>
      </c>
      <c r="H401">
        <v>39</v>
      </c>
      <c r="I401" t="s">
        <v>16</v>
      </c>
      <c r="J401" t="s">
        <v>16</v>
      </c>
      <c r="K401" s="3">
        <v>35961</v>
      </c>
      <c r="L401" s="3">
        <v>43844</v>
      </c>
      <c r="M401" s="2">
        <f t="shared" si="35"/>
        <v>21.597260273972601</v>
      </c>
      <c r="N401" t="e">
        <f t="shared" si="36"/>
        <v>#VALUE!</v>
      </c>
      <c r="O401" t="s">
        <v>15</v>
      </c>
      <c r="P401" t="e">
        <f t="shared" si="37"/>
        <v>#VALUE!</v>
      </c>
      <c r="Q401" s="1" t="e">
        <f t="shared" si="38"/>
        <v>#VALUE!</v>
      </c>
    </row>
    <row r="402" spans="1:18" x14ac:dyDescent="0.25">
      <c r="A402" t="s">
        <v>289</v>
      </c>
      <c r="B402" t="s">
        <v>11</v>
      </c>
      <c r="C402" t="s">
        <v>26</v>
      </c>
      <c r="D402" t="s">
        <v>27</v>
      </c>
      <c r="E402" t="s">
        <v>14</v>
      </c>
      <c r="F402" t="s">
        <v>15</v>
      </c>
      <c r="G402" t="s">
        <v>15</v>
      </c>
      <c r="H402">
        <v>26</v>
      </c>
      <c r="I402" t="s">
        <v>17</v>
      </c>
      <c r="J402" t="s">
        <v>17</v>
      </c>
      <c r="K402" s="3">
        <v>36845</v>
      </c>
      <c r="L402" s="3">
        <v>43844</v>
      </c>
      <c r="M402" s="2">
        <f t="shared" si="35"/>
        <v>19.175342465753424</v>
      </c>
      <c r="N402" t="e">
        <f t="shared" si="36"/>
        <v>#VALUE!</v>
      </c>
      <c r="O402" t="s">
        <v>15</v>
      </c>
      <c r="P402" t="e">
        <f t="shared" si="37"/>
        <v>#VALUE!</v>
      </c>
      <c r="Q402" s="1" t="e">
        <f t="shared" si="38"/>
        <v>#VALUE!</v>
      </c>
      <c r="R402" t="s">
        <v>195</v>
      </c>
    </row>
    <row r="403" spans="1:18" x14ac:dyDescent="0.25">
      <c r="A403" t="s">
        <v>95</v>
      </c>
      <c r="B403" t="s">
        <v>11</v>
      </c>
      <c r="C403" t="s">
        <v>12</v>
      </c>
      <c r="D403" t="s">
        <v>13</v>
      </c>
      <c r="E403" t="s">
        <v>186</v>
      </c>
      <c r="F403" t="s">
        <v>15</v>
      </c>
      <c r="G403" t="s">
        <v>15</v>
      </c>
      <c r="H403">
        <v>12</v>
      </c>
      <c r="I403" t="s">
        <v>16</v>
      </c>
      <c r="J403" t="s">
        <v>17</v>
      </c>
      <c r="M403" s="2">
        <f t="shared" si="35"/>
        <v>0</v>
      </c>
      <c r="N403" t="e">
        <f t="shared" si="36"/>
        <v>#VALUE!</v>
      </c>
      <c r="O403" t="s">
        <v>15</v>
      </c>
      <c r="P403" t="e">
        <f t="shared" si="37"/>
        <v>#VALUE!</v>
      </c>
      <c r="Q403" s="1" t="e">
        <f t="shared" si="38"/>
        <v>#VALUE!</v>
      </c>
      <c r="R403" t="s">
        <v>203</v>
      </c>
    </row>
    <row r="404" spans="1:18" x14ac:dyDescent="0.25">
      <c r="A404" t="s">
        <v>95</v>
      </c>
      <c r="B404" t="s">
        <v>11</v>
      </c>
      <c r="C404" t="s">
        <v>296</v>
      </c>
      <c r="D404" t="s">
        <v>24</v>
      </c>
      <c r="E404" s="4" t="s">
        <v>186</v>
      </c>
      <c r="F404" t="s">
        <v>15</v>
      </c>
      <c r="G404" t="s">
        <v>15</v>
      </c>
      <c r="H404">
        <v>16</v>
      </c>
      <c r="I404" t="s">
        <v>16</v>
      </c>
      <c r="J404" t="s">
        <v>16</v>
      </c>
      <c r="M404" s="2">
        <f t="shared" si="35"/>
        <v>0</v>
      </c>
      <c r="N404" t="e">
        <f t="shared" si="36"/>
        <v>#VALUE!</v>
      </c>
      <c r="O404" t="s">
        <v>15</v>
      </c>
      <c r="P404" t="e">
        <f t="shared" si="37"/>
        <v>#VALUE!</v>
      </c>
      <c r="Q404" s="1" t="e">
        <f t="shared" si="38"/>
        <v>#VALUE!</v>
      </c>
      <c r="R404" t="s">
        <v>203</v>
      </c>
    </row>
    <row r="405" spans="1:18" x14ac:dyDescent="0.25">
      <c r="A405" t="s">
        <v>95</v>
      </c>
      <c r="B405" t="s">
        <v>11</v>
      </c>
      <c r="C405" t="s">
        <v>18</v>
      </c>
      <c r="D405" t="s">
        <v>19</v>
      </c>
      <c r="E405" s="4" t="s">
        <v>186</v>
      </c>
      <c r="F405" t="s">
        <v>15</v>
      </c>
      <c r="G405" t="s">
        <v>15</v>
      </c>
      <c r="H405">
        <v>9</v>
      </c>
      <c r="I405" t="s">
        <v>16</v>
      </c>
      <c r="J405" t="s">
        <v>17</v>
      </c>
      <c r="K405"/>
      <c r="L405"/>
      <c r="M405" s="2">
        <f t="shared" si="35"/>
        <v>0</v>
      </c>
      <c r="N405" t="e">
        <f t="shared" si="36"/>
        <v>#VALUE!</v>
      </c>
      <c r="O405" t="s">
        <v>15</v>
      </c>
      <c r="P405" t="e">
        <f t="shared" si="37"/>
        <v>#VALUE!</v>
      </c>
      <c r="Q405" s="1" t="e">
        <f t="shared" si="38"/>
        <v>#VALUE!</v>
      </c>
      <c r="R405" t="s">
        <v>203</v>
      </c>
    </row>
    <row r="406" spans="1:18" x14ac:dyDescent="0.25">
      <c r="A406" t="s">
        <v>95</v>
      </c>
      <c r="B406" t="s">
        <v>11</v>
      </c>
      <c r="C406" t="s">
        <v>20</v>
      </c>
      <c r="D406" t="s">
        <v>21</v>
      </c>
      <c r="E406" s="4" t="s">
        <v>186</v>
      </c>
      <c r="F406" t="s">
        <v>15</v>
      </c>
      <c r="G406" t="s">
        <v>15</v>
      </c>
      <c r="H406">
        <v>16</v>
      </c>
      <c r="I406" t="s">
        <v>16</v>
      </c>
      <c r="J406" t="s">
        <v>16</v>
      </c>
      <c r="M406" s="2">
        <f t="shared" si="35"/>
        <v>0</v>
      </c>
      <c r="N406" t="e">
        <f t="shared" si="36"/>
        <v>#VALUE!</v>
      </c>
      <c r="O406" t="s">
        <v>15</v>
      </c>
      <c r="P406" t="e">
        <f t="shared" si="37"/>
        <v>#VALUE!</v>
      </c>
      <c r="Q406" s="1" t="e">
        <f t="shared" si="38"/>
        <v>#VALUE!</v>
      </c>
      <c r="R406" t="s">
        <v>203</v>
      </c>
    </row>
    <row r="407" spans="1:18" x14ac:dyDescent="0.25">
      <c r="A407" t="s">
        <v>95</v>
      </c>
      <c r="B407" t="s">
        <v>11</v>
      </c>
      <c r="C407" t="s">
        <v>25</v>
      </c>
      <c r="D407" t="s">
        <v>24</v>
      </c>
      <c r="E407" s="4" t="s">
        <v>186</v>
      </c>
      <c r="F407" t="s">
        <v>15</v>
      </c>
      <c r="G407" t="s">
        <v>15</v>
      </c>
      <c r="H407">
        <v>16</v>
      </c>
      <c r="I407" t="s">
        <v>16</v>
      </c>
      <c r="J407" t="s">
        <v>17</v>
      </c>
      <c r="M407" s="2">
        <f t="shared" si="35"/>
        <v>0</v>
      </c>
      <c r="N407" t="e">
        <f t="shared" si="36"/>
        <v>#VALUE!</v>
      </c>
      <c r="O407" t="s">
        <v>15</v>
      </c>
      <c r="P407" t="e">
        <f t="shared" si="37"/>
        <v>#VALUE!</v>
      </c>
      <c r="Q407" s="1" t="e">
        <f t="shared" si="38"/>
        <v>#VALUE!</v>
      </c>
      <c r="R407" t="s">
        <v>203</v>
      </c>
    </row>
    <row r="408" spans="1:18" x14ac:dyDescent="0.25">
      <c r="A408" t="s">
        <v>95</v>
      </c>
      <c r="B408" t="s">
        <v>11</v>
      </c>
      <c r="C408" t="s">
        <v>26</v>
      </c>
      <c r="D408" t="s">
        <v>27</v>
      </c>
      <c r="E408" t="s">
        <v>186</v>
      </c>
      <c r="F408" t="s">
        <v>15</v>
      </c>
      <c r="G408" t="s">
        <v>15</v>
      </c>
      <c r="H408">
        <v>16</v>
      </c>
      <c r="I408" t="s">
        <v>31</v>
      </c>
      <c r="J408" t="s">
        <v>17</v>
      </c>
      <c r="K408"/>
      <c r="L408"/>
      <c r="M408" s="2">
        <f t="shared" si="35"/>
        <v>0</v>
      </c>
      <c r="N408" t="e">
        <f t="shared" si="36"/>
        <v>#VALUE!</v>
      </c>
      <c r="O408" t="s">
        <v>15</v>
      </c>
      <c r="P408" t="e">
        <f t="shared" si="37"/>
        <v>#VALUE!</v>
      </c>
      <c r="Q408" s="1" t="e">
        <f t="shared" si="38"/>
        <v>#VALUE!</v>
      </c>
      <c r="R408" t="s">
        <v>203</v>
      </c>
    </row>
    <row r="409" spans="1:18" x14ac:dyDescent="0.25">
      <c r="A409" t="s">
        <v>96</v>
      </c>
      <c r="B409" t="s">
        <v>11</v>
      </c>
      <c r="C409" t="s">
        <v>12</v>
      </c>
      <c r="D409" t="s">
        <v>13</v>
      </c>
      <c r="E409" s="4" t="s">
        <v>22</v>
      </c>
      <c r="F409" t="s">
        <v>23</v>
      </c>
      <c r="G409">
        <v>0.21390000000000001</v>
      </c>
      <c r="H409">
        <v>27</v>
      </c>
      <c r="I409" t="s">
        <v>16</v>
      </c>
      <c r="J409" t="s">
        <v>16</v>
      </c>
      <c r="K409" s="3">
        <v>37735</v>
      </c>
      <c r="L409" s="3">
        <v>44921</v>
      </c>
      <c r="M409" s="2">
        <f t="shared" si="35"/>
        <v>19.687671232876713</v>
      </c>
      <c r="N409">
        <f t="shared" si="36"/>
        <v>4.211192876712329</v>
      </c>
      <c r="O409">
        <v>4.5</v>
      </c>
      <c r="P409">
        <f t="shared" si="37"/>
        <v>8.7111928767123281</v>
      </c>
      <c r="Q409" s="1">
        <f>((P409-O409)/O409)</f>
        <v>0.93582063926940628</v>
      </c>
      <c r="R409" t="s">
        <v>145</v>
      </c>
    </row>
    <row r="410" spans="1:18" x14ac:dyDescent="0.25">
      <c r="A410" t="s">
        <v>96</v>
      </c>
      <c r="B410" t="s">
        <v>11</v>
      </c>
      <c r="C410" t="s">
        <v>296</v>
      </c>
      <c r="D410" t="s">
        <v>24</v>
      </c>
      <c r="E410" t="s">
        <v>14</v>
      </c>
      <c r="F410" t="s">
        <v>15</v>
      </c>
      <c r="G410" t="s">
        <v>15</v>
      </c>
      <c r="H410">
        <v>31</v>
      </c>
      <c r="I410" t="s">
        <v>16</v>
      </c>
      <c r="J410" t="s">
        <v>33</v>
      </c>
      <c r="K410" s="3">
        <v>36444</v>
      </c>
      <c r="L410" s="3">
        <v>44886</v>
      </c>
      <c r="M410" s="2">
        <f t="shared" si="35"/>
        <v>23.12876712328767</v>
      </c>
      <c r="N410" t="e">
        <f t="shared" si="36"/>
        <v>#VALUE!</v>
      </c>
      <c r="O410" t="s">
        <v>15</v>
      </c>
      <c r="P410" t="e">
        <f t="shared" si="37"/>
        <v>#VALUE!</v>
      </c>
      <c r="Q410" s="1" t="e">
        <f>((P410-O410)/P410)</f>
        <v>#VALUE!</v>
      </c>
      <c r="R410" t="s">
        <v>166</v>
      </c>
    </row>
    <row r="411" spans="1:18" x14ac:dyDescent="0.25">
      <c r="A411" t="s">
        <v>96</v>
      </c>
      <c r="B411" t="s">
        <v>11</v>
      </c>
      <c r="C411" t="s">
        <v>18</v>
      </c>
      <c r="D411" t="s">
        <v>19</v>
      </c>
      <c r="E411" s="5" t="s">
        <v>40</v>
      </c>
      <c r="F411" t="s">
        <v>23</v>
      </c>
      <c r="G411">
        <v>1.1539999999999999</v>
      </c>
      <c r="H411">
        <v>22</v>
      </c>
      <c r="I411" t="s">
        <v>17</v>
      </c>
      <c r="J411" t="s">
        <v>16</v>
      </c>
      <c r="K411" s="3">
        <v>38308</v>
      </c>
      <c r="L411" s="3">
        <v>44918</v>
      </c>
      <c r="M411" s="2">
        <f t="shared" si="35"/>
        <v>18.109589041095891</v>
      </c>
      <c r="N411">
        <f t="shared" si="36"/>
        <v>20.898465753424656</v>
      </c>
      <c r="O411">
        <v>19</v>
      </c>
      <c r="P411">
        <f t="shared" si="37"/>
        <v>39.898465753424659</v>
      </c>
      <c r="Q411" s="1">
        <f>((P411-O411)/O411)</f>
        <v>1.0999192501802453</v>
      </c>
    </row>
    <row r="412" spans="1:18" x14ac:dyDescent="0.25">
      <c r="A412" t="s">
        <v>96</v>
      </c>
      <c r="B412" t="s">
        <v>11</v>
      </c>
      <c r="C412" t="s">
        <v>20</v>
      </c>
      <c r="D412" t="s">
        <v>21</v>
      </c>
      <c r="E412" t="s">
        <v>22</v>
      </c>
      <c r="F412" t="s">
        <v>23</v>
      </c>
      <c r="G412" s="2">
        <v>9.0399999999999991</v>
      </c>
      <c r="H412">
        <v>28</v>
      </c>
      <c r="I412" t="s">
        <v>16</v>
      </c>
      <c r="J412" t="s">
        <v>16</v>
      </c>
      <c r="K412" s="3">
        <v>36444</v>
      </c>
      <c r="L412" s="3">
        <v>44886</v>
      </c>
      <c r="M412" s="2">
        <f t="shared" si="35"/>
        <v>23.12876712328767</v>
      </c>
      <c r="N412">
        <f t="shared" si="36"/>
        <v>209.08405479452051</v>
      </c>
      <c r="O412">
        <v>235</v>
      </c>
      <c r="P412">
        <f t="shared" si="37"/>
        <v>444.08405479452051</v>
      </c>
      <c r="Q412" s="1">
        <f>((P412-O412)/O412)</f>
        <v>0.88971938210434265</v>
      </c>
      <c r="R412" t="s">
        <v>142</v>
      </c>
    </row>
    <row r="413" spans="1:18" x14ac:dyDescent="0.25">
      <c r="A413" t="s">
        <v>96</v>
      </c>
      <c r="B413" t="s">
        <v>11</v>
      </c>
      <c r="C413" t="s">
        <v>25</v>
      </c>
      <c r="D413" t="s">
        <v>24</v>
      </c>
      <c r="E413" s="4" t="s">
        <v>32</v>
      </c>
      <c r="F413" t="s">
        <v>29</v>
      </c>
      <c r="G413">
        <v>-1.4729999999999999E-3</v>
      </c>
      <c r="H413">
        <v>31</v>
      </c>
      <c r="I413" t="s">
        <v>16</v>
      </c>
      <c r="J413" t="s">
        <v>16</v>
      </c>
      <c r="K413" s="3">
        <v>36444</v>
      </c>
      <c r="L413" s="3">
        <v>44886</v>
      </c>
      <c r="M413" s="2">
        <f t="shared" si="35"/>
        <v>23.12876712328767</v>
      </c>
      <c r="N413">
        <f t="shared" si="36"/>
        <v>-3.4068673972602735E-2</v>
      </c>
      <c r="O413">
        <v>0.11</v>
      </c>
      <c r="P413">
        <f t="shared" si="37"/>
        <v>7.5931326027397272E-2</v>
      </c>
      <c r="Q413" s="1">
        <f>((P413-O413)/O413)</f>
        <v>-0.30971521793275208</v>
      </c>
      <c r="R413" t="s">
        <v>147</v>
      </c>
    </row>
    <row r="414" spans="1:18" x14ac:dyDescent="0.25">
      <c r="A414" t="s">
        <v>96</v>
      </c>
      <c r="B414" t="s">
        <v>11</v>
      </c>
      <c r="C414" t="s">
        <v>26</v>
      </c>
      <c r="D414" t="s">
        <v>27</v>
      </c>
      <c r="E414" s="4" t="s">
        <v>32</v>
      </c>
      <c r="F414" t="s">
        <v>29</v>
      </c>
      <c r="G414">
        <v>-2.0680000000000001</v>
      </c>
      <c r="H414">
        <v>26</v>
      </c>
      <c r="I414" t="s">
        <v>31</v>
      </c>
      <c r="J414" t="s">
        <v>33</v>
      </c>
      <c r="K414" s="3">
        <v>38308</v>
      </c>
      <c r="L414" s="3">
        <v>44886</v>
      </c>
      <c r="M414" s="2">
        <f t="shared" si="35"/>
        <v>18.021917808219179</v>
      </c>
      <c r="N414">
        <f t="shared" si="36"/>
        <v>-37.269326027397263</v>
      </c>
      <c r="O414">
        <v>60</v>
      </c>
      <c r="P414">
        <f t="shared" si="37"/>
        <v>22.730673972602737</v>
      </c>
      <c r="Q414" s="1">
        <f>((P414-O414)/O414)</f>
        <v>-0.62115543378995441</v>
      </c>
    </row>
    <row r="415" spans="1:18" x14ac:dyDescent="0.25">
      <c r="A415" t="s">
        <v>307</v>
      </c>
      <c r="B415" t="s">
        <v>11</v>
      </c>
      <c r="C415" t="s">
        <v>12</v>
      </c>
      <c r="D415" t="s">
        <v>13</v>
      </c>
      <c r="E415" s="4" t="s">
        <v>40</v>
      </c>
      <c r="F415" t="s">
        <v>23</v>
      </c>
      <c r="G415">
        <v>0.37580000000000002</v>
      </c>
      <c r="H415">
        <v>31</v>
      </c>
      <c r="I415" t="s">
        <v>17</v>
      </c>
      <c r="J415" t="s">
        <v>17</v>
      </c>
      <c r="K415" s="3">
        <v>37475</v>
      </c>
      <c r="L415" s="3">
        <v>44453</v>
      </c>
      <c r="M415" s="2">
        <f t="shared" si="35"/>
        <v>19.117808219178084</v>
      </c>
      <c r="N415">
        <f t="shared" si="36"/>
        <v>7.1844723287671242</v>
      </c>
      <c r="O415">
        <v>9.5</v>
      </c>
      <c r="P415">
        <f t="shared" si="37"/>
        <v>16.684472328767125</v>
      </c>
      <c r="Q415" s="1">
        <f>((P415-O415)/O415)</f>
        <v>0.75626024513338164</v>
      </c>
      <c r="R415" t="s">
        <v>146</v>
      </c>
    </row>
    <row r="416" spans="1:18" x14ac:dyDescent="0.25">
      <c r="A416" t="s">
        <v>307</v>
      </c>
      <c r="B416" t="s">
        <v>11</v>
      </c>
      <c r="C416" t="s">
        <v>296</v>
      </c>
      <c r="D416" t="s">
        <v>24</v>
      </c>
      <c r="E416" t="s">
        <v>14</v>
      </c>
      <c r="F416" t="s">
        <v>15</v>
      </c>
      <c r="G416" t="s">
        <v>15</v>
      </c>
      <c r="H416">
        <v>38</v>
      </c>
      <c r="I416" t="s">
        <v>16</v>
      </c>
      <c r="J416" t="s">
        <v>16</v>
      </c>
      <c r="K416" s="3">
        <v>35933</v>
      </c>
      <c r="L416" s="3">
        <v>44453</v>
      </c>
      <c r="M416" s="2">
        <f t="shared" si="35"/>
        <v>23.342465753424658</v>
      </c>
      <c r="N416" t="e">
        <f t="shared" si="36"/>
        <v>#VALUE!</v>
      </c>
      <c r="O416" t="s">
        <v>15</v>
      </c>
      <c r="P416" t="e">
        <f t="shared" si="37"/>
        <v>#VALUE!</v>
      </c>
      <c r="Q416" s="1" t="e">
        <f>((P416-O416)/P416)</f>
        <v>#VALUE!</v>
      </c>
    </row>
    <row r="417" spans="1:18" x14ac:dyDescent="0.25">
      <c r="A417" t="s">
        <v>307</v>
      </c>
      <c r="B417" t="s">
        <v>11</v>
      </c>
      <c r="C417" t="s">
        <v>18</v>
      </c>
      <c r="D417" t="s">
        <v>19</v>
      </c>
      <c r="E417" s="4" t="s">
        <v>28</v>
      </c>
      <c r="F417" t="s">
        <v>29</v>
      </c>
      <c r="G417">
        <v>-0.98509999999999998</v>
      </c>
      <c r="H417">
        <v>27</v>
      </c>
      <c r="I417" t="s">
        <v>17</v>
      </c>
      <c r="J417" t="s">
        <v>17</v>
      </c>
      <c r="K417" s="3">
        <v>37915</v>
      </c>
      <c r="L417" s="3">
        <v>44453</v>
      </c>
      <c r="M417" s="2">
        <f t="shared" si="35"/>
        <v>17.912328767123288</v>
      </c>
      <c r="N417">
        <f t="shared" si="36"/>
        <v>-17.64543506849315</v>
      </c>
      <c r="O417">
        <v>78</v>
      </c>
      <c r="P417">
        <f t="shared" si="37"/>
        <v>60.35456493150685</v>
      </c>
      <c r="Q417" s="1">
        <f>((P417-O417)/O417)</f>
        <v>-0.22622352651914296</v>
      </c>
    </row>
    <row r="418" spans="1:18" x14ac:dyDescent="0.25">
      <c r="A418" t="s">
        <v>307</v>
      </c>
      <c r="B418" t="s">
        <v>11</v>
      </c>
      <c r="C418" t="s">
        <v>20</v>
      </c>
      <c r="D418" t="s">
        <v>21</v>
      </c>
      <c r="E418" t="s">
        <v>22</v>
      </c>
      <c r="F418" t="s">
        <v>23</v>
      </c>
      <c r="G418" s="2">
        <v>0.85250000000000004</v>
      </c>
      <c r="H418">
        <v>40</v>
      </c>
      <c r="I418" t="s">
        <v>16</v>
      </c>
      <c r="J418" t="s">
        <v>31</v>
      </c>
      <c r="K418" s="3">
        <v>35933</v>
      </c>
      <c r="L418" s="3">
        <v>44405</v>
      </c>
      <c r="M418" s="2">
        <f t="shared" si="35"/>
        <v>23.210958904109589</v>
      </c>
      <c r="N418">
        <f t="shared" si="36"/>
        <v>19.787342465753426</v>
      </c>
      <c r="O418">
        <v>26</v>
      </c>
      <c r="P418">
        <f t="shared" si="37"/>
        <v>45.787342465753426</v>
      </c>
      <c r="Q418" s="1">
        <f>((P418-O418)/O418)</f>
        <v>0.76105163329820869</v>
      </c>
      <c r="R418" t="s">
        <v>142</v>
      </c>
    </row>
    <row r="419" spans="1:18" x14ac:dyDescent="0.25">
      <c r="A419" t="s">
        <v>307</v>
      </c>
      <c r="B419" t="s">
        <v>11</v>
      </c>
      <c r="C419" t="s">
        <v>25</v>
      </c>
      <c r="D419" t="s">
        <v>24</v>
      </c>
      <c r="E419" s="4" t="s">
        <v>22</v>
      </c>
      <c r="F419" t="s">
        <v>23</v>
      </c>
      <c r="G419">
        <v>5.4500000000000002E-4</v>
      </c>
      <c r="H419">
        <v>38</v>
      </c>
      <c r="I419" t="s">
        <v>16</v>
      </c>
      <c r="J419" t="s">
        <v>17</v>
      </c>
      <c r="K419" s="3">
        <v>35933</v>
      </c>
      <c r="L419" s="3">
        <v>44453</v>
      </c>
      <c r="M419" s="2">
        <f t="shared" si="35"/>
        <v>23.342465753424658</v>
      </c>
      <c r="N419">
        <f t="shared" si="36"/>
        <v>1.272164383561644E-2</v>
      </c>
      <c r="O419">
        <v>2.4E-2</v>
      </c>
      <c r="P419">
        <f t="shared" si="37"/>
        <v>3.6721643835616442E-2</v>
      </c>
      <c r="Q419" s="1">
        <f>((P419-O419)/O419)</f>
        <v>0.53006849315068505</v>
      </c>
      <c r="R419" t="s">
        <v>156</v>
      </c>
    </row>
    <row r="420" spans="1:18" x14ac:dyDescent="0.25">
      <c r="A420" t="s">
        <v>307</v>
      </c>
      <c r="B420" t="s">
        <v>11</v>
      </c>
      <c r="C420" t="s">
        <v>26</v>
      </c>
      <c r="D420" t="s">
        <v>27</v>
      </c>
      <c r="E420" t="s">
        <v>14</v>
      </c>
      <c r="F420" t="s">
        <v>15</v>
      </c>
      <c r="G420" t="s">
        <v>15</v>
      </c>
      <c r="H420">
        <v>27</v>
      </c>
      <c r="I420" t="s">
        <v>17</v>
      </c>
      <c r="J420" t="s">
        <v>17</v>
      </c>
      <c r="K420" s="3">
        <v>37915</v>
      </c>
      <c r="L420" s="3">
        <v>44453</v>
      </c>
      <c r="M420" s="2">
        <f t="shared" si="35"/>
        <v>17.912328767123288</v>
      </c>
      <c r="N420" t="e">
        <f t="shared" si="36"/>
        <v>#VALUE!</v>
      </c>
      <c r="O420" t="s">
        <v>15</v>
      </c>
      <c r="P420" t="e">
        <f t="shared" si="37"/>
        <v>#VALUE!</v>
      </c>
      <c r="Q420" s="1" t="e">
        <f>((P420-O420)/P420)</f>
        <v>#VALUE!</v>
      </c>
    </row>
    <row r="421" spans="1:18" x14ac:dyDescent="0.25">
      <c r="A421" t="s">
        <v>98</v>
      </c>
      <c r="B421" t="s">
        <v>11</v>
      </c>
      <c r="C421" t="s">
        <v>12</v>
      </c>
      <c r="D421" t="s">
        <v>13</v>
      </c>
      <c r="E421" s="4" t="s">
        <v>22</v>
      </c>
      <c r="F421" t="s">
        <v>23</v>
      </c>
      <c r="G421">
        <v>0.79</v>
      </c>
      <c r="H421">
        <v>39</v>
      </c>
      <c r="I421" t="s">
        <v>16</v>
      </c>
      <c r="J421" t="s">
        <v>17</v>
      </c>
      <c r="K421" s="3">
        <v>37628</v>
      </c>
      <c r="L421" s="3">
        <v>44930</v>
      </c>
      <c r="M421" s="2">
        <f t="shared" si="35"/>
        <v>20.005479452054793</v>
      </c>
      <c r="N421">
        <f t="shared" si="36"/>
        <v>15.804328767123287</v>
      </c>
      <c r="O421">
        <v>9</v>
      </c>
      <c r="P421">
        <f t="shared" si="37"/>
        <v>24.804328767123287</v>
      </c>
      <c r="Q421" s="1">
        <f>((P421-O421)/O421)</f>
        <v>1.7560365296803653</v>
      </c>
      <c r="R421" t="s">
        <v>144</v>
      </c>
    </row>
    <row r="422" spans="1:18" x14ac:dyDescent="0.25">
      <c r="A422" t="s">
        <v>98</v>
      </c>
      <c r="B422" t="s">
        <v>11</v>
      </c>
      <c r="C422" t="s">
        <v>296</v>
      </c>
      <c r="D422" t="s">
        <v>24</v>
      </c>
      <c r="E422" s="4" t="s">
        <v>22</v>
      </c>
      <c r="F422" t="s">
        <v>23</v>
      </c>
      <c r="G422">
        <v>1.1050000000000001E-2</v>
      </c>
      <c r="H422">
        <v>42</v>
      </c>
      <c r="I422" t="s">
        <v>16</v>
      </c>
      <c r="J422" t="s">
        <v>17</v>
      </c>
      <c r="K422" s="3">
        <v>36466</v>
      </c>
      <c r="L422" s="3">
        <v>44894</v>
      </c>
      <c r="M422" s="2">
        <f t="shared" si="35"/>
        <v>23.090410958904108</v>
      </c>
      <c r="N422">
        <f t="shared" si="36"/>
        <v>0.25514904109589043</v>
      </c>
      <c r="O422">
        <v>0.75</v>
      </c>
      <c r="P422">
        <f t="shared" si="37"/>
        <v>1.0051490410958905</v>
      </c>
      <c r="Q422" s="1">
        <f>((P422-O422)/O422)</f>
        <v>0.3401987214611874</v>
      </c>
    </row>
    <row r="423" spans="1:18" x14ac:dyDescent="0.25">
      <c r="A423" t="s">
        <v>98</v>
      </c>
      <c r="B423" t="s">
        <v>11</v>
      </c>
      <c r="C423" t="s">
        <v>18</v>
      </c>
      <c r="D423" t="s">
        <v>19</v>
      </c>
      <c r="E423" t="s">
        <v>14</v>
      </c>
      <c r="F423" t="s">
        <v>15</v>
      </c>
      <c r="G423" t="s">
        <v>15</v>
      </c>
      <c r="H423">
        <v>25</v>
      </c>
      <c r="I423" t="s">
        <v>16</v>
      </c>
      <c r="J423" t="s">
        <v>17</v>
      </c>
      <c r="K423" s="3">
        <v>38313</v>
      </c>
      <c r="L423" s="3">
        <v>44894</v>
      </c>
      <c r="M423" s="2">
        <f t="shared" si="35"/>
        <v>18.030136986301368</v>
      </c>
      <c r="N423" t="e">
        <f t="shared" si="36"/>
        <v>#VALUE!</v>
      </c>
      <c r="O423" t="s">
        <v>15</v>
      </c>
      <c r="P423" t="e">
        <f t="shared" si="37"/>
        <v>#VALUE!</v>
      </c>
      <c r="Q423" s="1" t="e">
        <f>((P423-O423)/P423)</f>
        <v>#VALUE!</v>
      </c>
    </row>
    <row r="424" spans="1:18" x14ac:dyDescent="0.25">
      <c r="A424" t="s">
        <v>98</v>
      </c>
      <c r="B424" t="s">
        <v>11</v>
      </c>
      <c r="C424" t="s">
        <v>20</v>
      </c>
      <c r="D424" t="s">
        <v>21</v>
      </c>
      <c r="E424" t="s">
        <v>38</v>
      </c>
      <c r="F424" t="s">
        <v>23</v>
      </c>
      <c r="G424" s="2">
        <v>2.04</v>
      </c>
      <c r="H424">
        <v>37</v>
      </c>
      <c r="I424" t="s">
        <v>16</v>
      </c>
      <c r="J424" t="s">
        <v>17</v>
      </c>
      <c r="K424" s="3">
        <v>35937</v>
      </c>
      <c r="L424" s="3">
        <v>44852</v>
      </c>
      <c r="M424" s="2">
        <f t="shared" si="35"/>
        <v>24.424657534246574</v>
      </c>
      <c r="N424">
        <f t="shared" si="36"/>
        <v>49.82630136986301</v>
      </c>
      <c r="O424">
        <v>300</v>
      </c>
      <c r="P424">
        <f t="shared" si="37"/>
        <v>349.82630136986302</v>
      </c>
      <c r="Q424" s="1">
        <f>((P424-O424)/O424)</f>
        <v>0.16608767123287674</v>
      </c>
    </row>
    <row r="425" spans="1:18" x14ac:dyDescent="0.25">
      <c r="A425" t="s">
        <v>98</v>
      </c>
      <c r="B425" t="s">
        <v>11</v>
      </c>
      <c r="C425" t="s">
        <v>25</v>
      </c>
      <c r="D425" t="s">
        <v>24</v>
      </c>
      <c r="E425" t="s">
        <v>14</v>
      </c>
      <c r="F425" t="s">
        <v>15</v>
      </c>
      <c r="G425" t="s">
        <v>15</v>
      </c>
      <c r="H425">
        <v>37</v>
      </c>
      <c r="I425" t="s">
        <v>16</v>
      </c>
      <c r="J425" t="s">
        <v>17</v>
      </c>
      <c r="K425" s="3">
        <v>36466</v>
      </c>
      <c r="L425" s="3">
        <v>44894</v>
      </c>
      <c r="M425" s="2">
        <f t="shared" si="35"/>
        <v>23.090410958904108</v>
      </c>
      <c r="N425" t="e">
        <f t="shared" si="36"/>
        <v>#VALUE!</v>
      </c>
      <c r="O425" t="s">
        <v>15</v>
      </c>
      <c r="P425" t="e">
        <f t="shared" si="37"/>
        <v>#VALUE!</v>
      </c>
      <c r="Q425" s="1" t="e">
        <f>((P425-O425)/P425)</f>
        <v>#VALUE!</v>
      </c>
    </row>
    <row r="426" spans="1:18" x14ac:dyDescent="0.25">
      <c r="A426" t="s">
        <v>98</v>
      </c>
      <c r="B426" t="s">
        <v>11</v>
      </c>
      <c r="C426" t="s">
        <v>26</v>
      </c>
      <c r="D426" t="s">
        <v>27</v>
      </c>
      <c r="E426" s="4" t="s">
        <v>34</v>
      </c>
      <c r="F426" t="s">
        <v>29</v>
      </c>
      <c r="G426">
        <v>-0.15970000000000001</v>
      </c>
      <c r="H426">
        <v>30</v>
      </c>
      <c r="I426" t="s">
        <v>17</v>
      </c>
      <c r="J426" t="s">
        <v>17</v>
      </c>
      <c r="K426" s="3">
        <v>38313</v>
      </c>
      <c r="L426" s="3">
        <v>44926</v>
      </c>
      <c r="M426" s="2">
        <f t="shared" si="35"/>
        <v>18.117808219178084</v>
      </c>
      <c r="N426">
        <f t="shared" si="36"/>
        <v>-2.8934139726027404</v>
      </c>
      <c r="O426">
        <v>11</v>
      </c>
      <c r="P426">
        <f t="shared" si="37"/>
        <v>8.1065860273972596</v>
      </c>
      <c r="Q426" s="1">
        <f>((P426-O426)/O426)</f>
        <v>-0.26303763387297641</v>
      </c>
      <c r="R426" t="s">
        <v>144</v>
      </c>
    </row>
    <row r="427" spans="1:18" x14ac:dyDescent="0.25">
      <c r="A427" t="s">
        <v>308</v>
      </c>
      <c r="B427" t="s">
        <v>11</v>
      </c>
      <c r="C427" t="s">
        <v>12</v>
      </c>
      <c r="D427" t="s">
        <v>13</v>
      </c>
      <c r="E427" s="4" t="s">
        <v>22</v>
      </c>
      <c r="F427" t="s">
        <v>23</v>
      </c>
      <c r="G427">
        <v>0.54449999999999998</v>
      </c>
      <c r="H427">
        <v>27</v>
      </c>
      <c r="I427" t="s">
        <v>16</v>
      </c>
      <c r="J427" t="s">
        <v>17</v>
      </c>
      <c r="K427" s="3">
        <v>37566</v>
      </c>
      <c r="L427" s="3">
        <v>43723</v>
      </c>
      <c r="M427" s="2">
        <f t="shared" si="35"/>
        <v>16.86849315068493</v>
      </c>
      <c r="N427">
        <f t="shared" si="36"/>
        <v>9.1848945205479442</v>
      </c>
      <c r="O427">
        <v>10</v>
      </c>
      <c r="P427">
        <f t="shared" si="37"/>
        <v>19.184894520547942</v>
      </c>
      <c r="Q427" s="1">
        <f>((P427-O427)/O427)</f>
        <v>0.91848945205479426</v>
      </c>
      <c r="R427" t="s">
        <v>147</v>
      </c>
    </row>
    <row r="428" spans="1:18" x14ac:dyDescent="0.25">
      <c r="A428" t="s">
        <v>308</v>
      </c>
      <c r="B428" t="s">
        <v>11</v>
      </c>
      <c r="C428" t="s">
        <v>296</v>
      </c>
      <c r="D428" t="s">
        <v>24</v>
      </c>
      <c r="E428" s="4" t="s">
        <v>22</v>
      </c>
      <c r="F428" t="s">
        <v>23</v>
      </c>
      <c r="G428">
        <v>1.5140000000000001E-2</v>
      </c>
      <c r="H428">
        <v>32</v>
      </c>
      <c r="I428" t="s">
        <v>33</v>
      </c>
      <c r="J428" t="s">
        <v>17</v>
      </c>
      <c r="K428" s="3">
        <v>36845</v>
      </c>
      <c r="L428" s="3">
        <v>43683</v>
      </c>
      <c r="M428" s="2">
        <f t="shared" si="35"/>
        <v>18.734246575342464</v>
      </c>
      <c r="N428">
        <f t="shared" si="36"/>
        <v>0.2836364931506849</v>
      </c>
      <c r="O428">
        <v>0.75</v>
      </c>
      <c r="P428">
        <f t="shared" si="37"/>
        <v>1.033636493150685</v>
      </c>
      <c r="Q428" s="1">
        <f>((P428-O428)/O428)</f>
        <v>0.37818199086757992</v>
      </c>
    </row>
    <row r="429" spans="1:18" x14ac:dyDescent="0.25">
      <c r="A429" t="s">
        <v>308</v>
      </c>
      <c r="B429" t="s">
        <v>11</v>
      </c>
      <c r="C429" t="s">
        <v>18</v>
      </c>
      <c r="D429" t="s">
        <v>19</v>
      </c>
      <c r="E429" t="s">
        <v>14</v>
      </c>
      <c r="F429" t="s">
        <v>15</v>
      </c>
      <c r="G429" t="s">
        <v>15</v>
      </c>
      <c r="H429">
        <v>21</v>
      </c>
      <c r="I429" t="s">
        <v>17</v>
      </c>
      <c r="J429" t="s">
        <v>16</v>
      </c>
      <c r="K429" s="3">
        <v>36845</v>
      </c>
      <c r="L429" s="3">
        <v>43683</v>
      </c>
      <c r="M429" s="2">
        <f t="shared" si="35"/>
        <v>18.734246575342464</v>
      </c>
      <c r="N429" t="e">
        <f t="shared" si="36"/>
        <v>#VALUE!</v>
      </c>
      <c r="O429" t="s">
        <v>15</v>
      </c>
      <c r="P429" t="e">
        <f t="shared" si="37"/>
        <v>#VALUE!</v>
      </c>
      <c r="Q429" s="1" t="e">
        <f>((P429-O429)/P429)</f>
        <v>#VALUE!</v>
      </c>
    </row>
    <row r="430" spans="1:18" x14ac:dyDescent="0.25">
      <c r="A430" t="s">
        <v>308</v>
      </c>
      <c r="B430" t="s">
        <v>11</v>
      </c>
      <c r="C430" t="s">
        <v>20</v>
      </c>
      <c r="D430" t="s">
        <v>21</v>
      </c>
      <c r="E430" t="s">
        <v>32</v>
      </c>
      <c r="F430" t="s">
        <v>29</v>
      </c>
      <c r="G430" s="2">
        <v>-2.1150000000000002</v>
      </c>
      <c r="H430">
        <v>23</v>
      </c>
      <c r="I430" t="s">
        <v>16</v>
      </c>
      <c r="J430" t="s">
        <v>17</v>
      </c>
      <c r="K430" s="3">
        <v>37576</v>
      </c>
      <c r="L430" s="3">
        <v>43683</v>
      </c>
      <c r="M430" s="2">
        <f t="shared" si="35"/>
        <v>16.731506849315068</v>
      </c>
      <c r="N430">
        <f t="shared" si="36"/>
        <v>-35.387136986301371</v>
      </c>
      <c r="O430">
        <v>295</v>
      </c>
      <c r="P430">
        <f t="shared" si="37"/>
        <v>259.61286301369864</v>
      </c>
      <c r="Q430" s="1">
        <f>((P430-O430)/O430)</f>
        <v>-0.11995639656373341</v>
      </c>
      <c r="R430" t="s">
        <v>142</v>
      </c>
    </row>
    <row r="431" spans="1:18" x14ac:dyDescent="0.25">
      <c r="A431" t="s">
        <v>308</v>
      </c>
      <c r="B431" t="s">
        <v>11</v>
      </c>
      <c r="C431" t="s">
        <v>25</v>
      </c>
      <c r="D431" t="s">
        <v>24</v>
      </c>
      <c r="E431" t="s">
        <v>14</v>
      </c>
      <c r="F431" t="s">
        <v>15</v>
      </c>
      <c r="G431" t="s">
        <v>15</v>
      </c>
      <c r="H431">
        <v>32</v>
      </c>
      <c r="I431" t="s">
        <v>16</v>
      </c>
      <c r="J431" t="s">
        <v>16</v>
      </c>
      <c r="K431" s="3">
        <v>36845</v>
      </c>
      <c r="L431" s="3">
        <v>43683</v>
      </c>
      <c r="M431" s="2">
        <f t="shared" si="35"/>
        <v>18.734246575342464</v>
      </c>
      <c r="N431" t="e">
        <f t="shared" si="36"/>
        <v>#VALUE!</v>
      </c>
      <c r="O431" t="s">
        <v>15</v>
      </c>
      <c r="P431" t="e">
        <f t="shared" si="37"/>
        <v>#VALUE!</v>
      </c>
      <c r="Q431" s="1" t="e">
        <f>((P431-O431)/P431)</f>
        <v>#VALUE!</v>
      </c>
    </row>
    <row r="432" spans="1:18" x14ac:dyDescent="0.25">
      <c r="A432" t="s">
        <v>308</v>
      </c>
      <c r="B432" t="s">
        <v>11</v>
      </c>
      <c r="C432" t="s">
        <v>26</v>
      </c>
      <c r="D432" t="s">
        <v>27</v>
      </c>
      <c r="E432" t="s">
        <v>14</v>
      </c>
      <c r="F432" t="s">
        <v>15</v>
      </c>
      <c r="G432" t="s">
        <v>15</v>
      </c>
      <c r="H432">
        <v>24</v>
      </c>
      <c r="I432" t="s">
        <v>16</v>
      </c>
      <c r="J432" t="s">
        <v>31</v>
      </c>
      <c r="K432" s="3">
        <v>36845</v>
      </c>
      <c r="L432" s="3">
        <v>43683</v>
      </c>
      <c r="M432" s="2">
        <f t="shared" si="35"/>
        <v>18.734246575342464</v>
      </c>
      <c r="N432" t="e">
        <f t="shared" si="36"/>
        <v>#VALUE!</v>
      </c>
      <c r="O432" t="s">
        <v>15</v>
      </c>
      <c r="P432" t="e">
        <f t="shared" si="37"/>
        <v>#VALUE!</v>
      </c>
      <c r="Q432" s="1" t="e">
        <f>((P432-O432)/P432)</f>
        <v>#VALUE!</v>
      </c>
    </row>
    <row r="433" spans="1:18" x14ac:dyDescent="0.25">
      <c r="A433" t="s">
        <v>100</v>
      </c>
      <c r="B433" t="s">
        <v>11</v>
      </c>
      <c r="C433" t="s">
        <v>12</v>
      </c>
      <c r="D433" t="s">
        <v>13</v>
      </c>
      <c r="E433" s="4" t="s">
        <v>38</v>
      </c>
      <c r="F433" t="s">
        <v>15</v>
      </c>
      <c r="G433">
        <v>2.79</v>
      </c>
      <c r="H433">
        <v>18</v>
      </c>
      <c r="I433" t="s">
        <v>16</v>
      </c>
      <c r="J433" t="s">
        <v>17</v>
      </c>
      <c r="K433" s="3">
        <v>37938</v>
      </c>
      <c r="L433" s="3">
        <v>43015</v>
      </c>
      <c r="M433" s="2">
        <f t="shared" si="35"/>
        <v>13.90958904109589</v>
      </c>
      <c r="N433">
        <f t="shared" si="36"/>
        <v>38.807753424657534</v>
      </c>
      <c r="O433">
        <v>36</v>
      </c>
      <c r="P433">
        <f t="shared" si="37"/>
        <v>74.807753424657534</v>
      </c>
      <c r="Q433" s="1">
        <f>((P433-O433)/O433)</f>
        <v>1.0779931506849314</v>
      </c>
      <c r="R433" t="s">
        <v>148</v>
      </c>
    </row>
    <row r="434" spans="1:18" x14ac:dyDescent="0.25">
      <c r="A434" t="s">
        <v>100</v>
      </c>
      <c r="B434" t="s">
        <v>11</v>
      </c>
      <c r="C434" t="s">
        <v>296</v>
      </c>
      <c r="D434" t="s">
        <v>24</v>
      </c>
      <c r="E434" t="s">
        <v>14</v>
      </c>
      <c r="F434" t="s">
        <v>15</v>
      </c>
      <c r="G434" t="s">
        <v>15</v>
      </c>
      <c r="H434">
        <v>21</v>
      </c>
      <c r="I434" t="s">
        <v>16</v>
      </c>
      <c r="J434" t="s">
        <v>17</v>
      </c>
      <c r="K434" s="3">
        <v>35968</v>
      </c>
      <c r="L434" s="3">
        <v>42990</v>
      </c>
      <c r="M434" s="2">
        <f t="shared" si="35"/>
        <v>19.238356164383561</v>
      </c>
      <c r="N434" t="e">
        <f t="shared" si="36"/>
        <v>#VALUE!</v>
      </c>
      <c r="O434" t="s">
        <v>15</v>
      </c>
      <c r="P434" t="e">
        <f t="shared" si="37"/>
        <v>#VALUE!</v>
      </c>
      <c r="Q434" s="1" t="e">
        <f>((P434-O434)/P434)</f>
        <v>#VALUE!</v>
      </c>
    </row>
    <row r="435" spans="1:18" x14ac:dyDescent="0.25">
      <c r="A435" t="s">
        <v>100</v>
      </c>
      <c r="B435" t="s">
        <v>11</v>
      </c>
      <c r="C435" t="s">
        <v>18</v>
      </c>
      <c r="D435" t="s">
        <v>19</v>
      </c>
      <c r="E435" t="s">
        <v>14</v>
      </c>
      <c r="F435" t="s">
        <v>15</v>
      </c>
      <c r="G435" t="s">
        <v>15</v>
      </c>
      <c r="H435">
        <v>15</v>
      </c>
      <c r="I435" t="s">
        <v>17</v>
      </c>
      <c r="J435" t="s">
        <v>17</v>
      </c>
      <c r="K435" s="3">
        <v>36956</v>
      </c>
      <c r="L435" s="3">
        <v>42990</v>
      </c>
      <c r="M435" s="2">
        <f t="shared" si="35"/>
        <v>16.531506849315068</v>
      </c>
      <c r="N435" t="e">
        <f t="shared" si="36"/>
        <v>#VALUE!</v>
      </c>
      <c r="O435" t="s">
        <v>15</v>
      </c>
      <c r="P435" t="e">
        <f t="shared" si="37"/>
        <v>#VALUE!</v>
      </c>
      <c r="Q435" s="1" t="e">
        <f>((P435-O435)/P435)</f>
        <v>#VALUE!</v>
      </c>
    </row>
    <row r="436" spans="1:18" x14ac:dyDescent="0.25">
      <c r="A436" t="s">
        <v>100</v>
      </c>
      <c r="B436" t="s">
        <v>11</v>
      </c>
      <c r="C436" t="s">
        <v>20</v>
      </c>
      <c r="D436" t="s">
        <v>21</v>
      </c>
      <c r="E436" t="s">
        <v>40</v>
      </c>
      <c r="F436" t="s">
        <v>23</v>
      </c>
      <c r="G436" s="2">
        <v>8.7789999999999999</v>
      </c>
      <c r="H436">
        <v>21</v>
      </c>
      <c r="I436" t="s">
        <v>16</v>
      </c>
      <c r="J436" t="s">
        <v>31</v>
      </c>
      <c r="K436" s="3">
        <v>36956</v>
      </c>
      <c r="L436" s="3">
        <v>43020</v>
      </c>
      <c r="M436" s="2">
        <f t="shared" si="35"/>
        <v>16.613698630136987</v>
      </c>
      <c r="N436">
        <f t="shared" si="36"/>
        <v>145.85166027397261</v>
      </c>
      <c r="O436">
        <v>490</v>
      </c>
      <c r="P436">
        <f t="shared" si="37"/>
        <v>635.85166027397258</v>
      </c>
      <c r="Q436" s="1">
        <f>((P436-O436)/O436)</f>
        <v>0.29765644953871956</v>
      </c>
      <c r="R436" t="s">
        <v>142</v>
      </c>
    </row>
    <row r="437" spans="1:18" x14ac:dyDescent="0.25">
      <c r="A437" t="s">
        <v>100</v>
      </c>
      <c r="B437" t="s">
        <v>11</v>
      </c>
      <c r="C437" t="s">
        <v>25</v>
      </c>
      <c r="D437" t="s">
        <v>24</v>
      </c>
      <c r="E437" s="4" t="s">
        <v>22</v>
      </c>
      <c r="F437" t="s">
        <v>23</v>
      </c>
      <c r="G437">
        <v>5.1000000000000004E-3</v>
      </c>
      <c r="H437">
        <v>21</v>
      </c>
      <c r="I437" t="s">
        <v>16</v>
      </c>
      <c r="J437" t="s">
        <v>33</v>
      </c>
      <c r="K437" s="3">
        <v>35968</v>
      </c>
      <c r="L437" s="3">
        <v>43025</v>
      </c>
      <c r="M437" s="2">
        <f t="shared" si="35"/>
        <v>19.334246575342465</v>
      </c>
      <c r="N437">
        <f t="shared" si="36"/>
        <v>9.8604657534246576E-2</v>
      </c>
      <c r="O437">
        <v>0.105</v>
      </c>
      <c r="P437">
        <f t="shared" si="37"/>
        <v>0.20360465753424656</v>
      </c>
      <c r="Q437" s="1">
        <f>((P437-O437)/O437)</f>
        <v>0.93909197651663401</v>
      </c>
      <c r="R437" t="s">
        <v>147</v>
      </c>
    </row>
    <row r="438" spans="1:18" x14ac:dyDescent="0.25">
      <c r="A438" t="s">
        <v>100</v>
      </c>
      <c r="B438" t="s">
        <v>11</v>
      </c>
      <c r="C438" t="s">
        <v>26</v>
      </c>
      <c r="D438" t="s">
        <v>27</v>
      </c>
      <c r="E438" t="s">
        <v>14</v>
      </c>
      <c r="F438" t="s">
        <v>15</v>
      </c>
      <c r="G438" t="s">
        <v>15</v>
      </c>
      <c r="H438">
        <v>19</v>
      </c>
      <c r="I438" t="s">
        <v>31</v>
      </c>
      <c r="J438" t="s">
        <v>17</v>
      </c>
      <c r="K438" s="3">
        <v>36956</v>
      </c>
      <c r="L438" s="3">
        <v>42990</v>
      </c>
      <c r="M438" s="2">
        <f t="shared" si="35"/>
        <v>16.531506849315068</v>
      </c>
      <c r="N438" t="e">
        <f t="shared" si="36"/>
        <v>#VALUE!</v>
      </c>
      <c r="O438" t="s">
        <v>15</v>
      </c>
      <c r="P438" t="e">
        <f t="shared" si="37"/>
        <v>#VALUE!</v>
      </c>
      <c r="Q438" s="1" t="e">
        <f>((P438-O438)/P438)</f>
        <v>#VALUE!</v>
      </c>
    </row>
    <row r="439" spans="1:18" x14ac:dyDescent="0.25">
      <c r="A439" t="s">
        <v>295</v>
      </c>
      <c r="B439" t="s">
        <v>11</v>
      </c>
      <c r="C439" t="s">
        <v>12</v>
      </c>
      <c r="D439" t="s">
        <v>13</v>
      </c>
      <c r="E439" t="s">
        <v>14</v>
      </c>
      <c r="F439" t="s">
        <v>15</v>
      </c>
      <c r="G439" t="s">
        <v>15</v>
      </c>
      <c r="H439">
        <v>26</v>
      </c>
      <c r="I439" t="s">
        <v>16</v>
      </c>
      <c r="J439" t="s">
        <v>17</v>
      </c>
      <c r="K439" s="3">
        <v>37453</v>
      </c>
      <c r="L439" s="3">
        <v>44452</v>
      </c>
      <c r="M439" s="2">
        <f t="shared" si="35"/>
        <v>19.175342465753424</v>
      </c>
      <c r="N439" t="e">
        <f t="shared" si="36"/>
        <v>#VALUE!</v>
      </c>
      <c r="O439" t="s">
        <v>15</v>
      </c>
      <c r="P439" t="e">
        <f t="shared" si="37"/>
        <v>#VALUE!</v>
      </c>
      <c r="Q439" s="1" t="e">
        <f>((P439-O439)/P439)</f>
        <v>#VALUE!</v>
      </c>
    </row>
    <row r="440" spans="1:18" x14ac:dyDescent="0.25">
      <c r="A440" t="s">
        <v>295</v>
      </c>
      <c r="B440" t="s">
        <v>11</v>
      </c>
      <c r="C440" t="s">
        <v>296</v>
      </c>
      <c r="D440" t="s">
        <v>24</v>
      </c>
      <c r="E440" s="4" t="s">
        <v>40</v>
      </c>
      <c r="F440" t="s">
        <v>23</v>
      </c>
      <c r="G440">
        <v>1.0370000000000001E-2</v>
      </c>
      <c r="H440">
        <v>31</v>
      </c>
      <c r="I440" t="s">
        <v>17</v>
      </c>
      <c r="J440" t="s">
        <v>17</v>
      </c>
      <c r="K440" s="3">
        <v>36447</v>
      </c>
      <c r="L440" s="3">
        <v>44452</v>
      </c>
      <c r="M440" s="2">
        <f t="shared" si="35"/>
        <v>21.931506849315067</v>
      </c>
      <c r="N440">
        <f t="shared" si="36"/>
        <v>0.22742972602739725</v>
      </c>
      <c r="O440">
        <v>0.8</v>
      </c>
      <c r="P440">
        <f t="shared" si="37"/>
        <v>1.0274297260273972</v>
      </c>
      <c r="Q440" s="1">
        <f>((P440-O440)/O440)</f>
        <v>0.28428715753424649</v>
      </c>
      <c r="R440" t="s">
        <v>156</v>
      </c>
    </row>
    <row r="441" spans="1:18" x14ac:dyDescent="0.25">
      <c r="A441" t="s">
        <v>295</v>
      </c>
      <c r="B441" t="s">
        <v>11</v>
      </c>
      <c r="C441" t="s">
        <v>18</v>
      </c>
      <c r="D441" t="s">
        <v>19</v>
      </c>
      <c r="E441" t="s">
        <v>14</v>
      </c>
      <c r="F441" t="s">
        <v>15</v>
      </c>
      <c r="G441" t="s">
        <v>15</v>
      </c>
      <c r="H441">
        <v>18</v>
      </c>
      <c r="I441" t="s">
        <v>16</v>
      </c>
      <c r="J441" t="s">
        <v>31</v>
      </c>
      <c r="K441" s="3">
        <v>38306</v>
      </c>
      <c r="L441" s="3">
        <v>44452</v>
      </c>
      <c r="M441" s="2">
        <f t="shared" si="35"/>
        <v>16.838356164383562</v>
      </c>
      <c r="N441" t="e">
        <f t="shared" si="36"/>
        <v>#VALUE!</v>
      </c>
      <c r="O441" t="s">
        <v>15</v>
      </c>
      <c r="P441" t="e">
        <f t="shared" si="37"/>
        <v>#VALUE!</v>
      </c>
      <c r="Q441" s="1" t="e">
        <f>((P441-O441)/P441)</f>
        <v>#VALUE!</v>
      </c>
    </row>
    <row r="442" spans="1:18" x14ac:dyDescent="0.25">
      <c r="A442" t="s">
        <v>295</v>
      </c>
      <c r="B442" t="s">
        <v>11</v>
      </c>
      <c r="C442" t="s">
        <v>20</v>
      </c>
      <c r="D442" t="s">
        <v>21</v>
      </c>
      <c r="E442" t="s">
        <v>28</v>
      </c>
      <c r="F442" t="s">
        <v>29</v>
      </c>
      <c r="G442" s="2">
        <v>-12.93</v>
      </c>
      <c r="H442">
        <v>26</v>
      </c>
      <c r="I442" t="s">
        <v>17</v>
      </c>
      <c r="J442" t="s">
        <v>17</v>
      </c>
      <c r="K442" s="3">
        <v>36437</v>
      </c>
      <c r="L442" s="3">
        <v>44229</v>
      </c>
      <c r="M442" s="2">
        <f t="shared" si="35"/>
        <v>21.347945205479451</v>
      </c>
      <c r="N442">
        <f t="shared" si="36"/>
        <v>-276.02893150684929</v>
      </c>
      <c r="O442">
        <v>750</v>
      </c>
      <c r="P442">
        <f t="shared" si="37"/>
        <v>473.97106849315071</v>
      </c>
      <c r="Q442" s="1">
        <f>((P442-O442)/O442)</f>
        <v>-0.3680385753424657</v>
      </c>
    </row>
    <row r="443" spans="1:18" x14ac:dyDescent="0.25">
      <c r="A443" t="s">
        <v>295</v>
      </c>
      <c r="B443" t="s">
        <v>11</v>
      </c>
      <c r="C443" t="s">
        <v>25</v>
      </c>
      <c r="D443" t="s">
        <v>24</v>
      </c>
      <c r="E443" t="s">
        <v>14</v>
      </c>
      <c r="F443" t="s">
        <v>15</v>
      </c>
      <c r="G443" t="s">
        <v>15</v>
      </c>
      <c r="H443">
        <v>31</v>
      </c>
      <c r="I443" t="s">
        <v>17</v>
      </c>
      <c r="J443" t="s">
        <v>17</v>
      </c>
      <c r="K443" s="3">
        <v>36437</v>
      </c>
      <c r="L443" s="3">
        <v>44452</v>
      </c>
      <c r="M443" s="2">
        <f t="shared" si="35"/>
        <v>21.958904109589042</v>
      </c>
      <c r="N443" t="e">
        <f t="shared" si="36"/>
        <v>#VALUE!</v>
      </c>
      <c r="O443" t="s">
        <v>15</v>
      </c>
      <c r="P443" t="e">
        <f t="shared" si="37"/>
        <v>#VALUE!</v>
      </c>
      <c r="Q443" s="1" t="e">
        <f>((P443-O443)/P443)</f>
        <v>#VALUE!</v>
      </c>
    </row>
    <row r="444" spans="1:18" x14ac:dyDescent="0.25">
      <c r="A444" t="s">
        <v>295</v>
      </c>
      <c r="B444" t="s">
        <v>11</v>
      </c>
      <c r="C444" t="s">
        <v>26</v>
      </c>
      <c r="D444" t="s">
        <v>27</v>
      </c>
      <c r="E444" t="s">
        <v>14</v>
      </c>
      <c r="F444" t="s">
        <v>15</v>
      </c>
      <c r="G444" t="s">
        <v>15</v>
      </c>
      <c r="H444">
        <v>19</v>
      </c>
      <c r="I444" t="s">
        <v>16</v>
      </c>
      <c r="J444" t="s">
        <v>16</v>
      </c>
      <c r="K444" s="3">
        <v>38306</v>
      </c>
      <c r="L444" s="3">
        <v>44452</v>
      </c>
      <c r="M444" s="2">
        <f t="shared" si="35"/>
        <v>16.838356164383562</v>
      </c>
      <c r="N444" t="e">
        <f t="shared" si="36"/>
        <v>#VALUE!</v>
      </c>
      <c r="O444" t="s">
        <v>15</v>
      </c>
      <c r="P444" t="e">
        <f t="shared" si="37"/>
        <v>#VALUE!</v>
      </c>
      <c r="Q444" s="1" t="e">
        <f>((P444-O444)/P444)</f>
        <v>#VALUE!</v>
      </c>
    </row>
    <row r="445" spans="1:18" x14ac:dyDescent="0.25">
      <c r="A445" t="s">
        <v>102</v>
      </c>
      <c r="B445" t="s">
        <v>11</v>
      </c>
      <c r="C445" t="s">
        <v>12</v>
      </c>
      <c r="D445" t="s">
        <v>13</v>
      </c>
      <c r="E445" s="4" t="s">
        <v>22</v>
      </c>
      <c r="F445" t="s">
        <v>23</v>
      </c>
      <c r="G445">
        <v>0.78910000000000002</v>
      </c>
      <c r="H445">
        <v>22</v>
      </c>
      <c r="I445" t="s">
        <v>17</v>
      </c>
      <c r="J445" t="s">
        <v>17</v>
      </c>
      <c r="K445" s="3">
        <v>37866</v>
      </c>
      <c r="L445" s="3">
        <v>44878</v>
      </c>
      <c r="M445" s="2">
        <f t="shared" si="35"/>
        <v>19.210958904109589</v>
      </c>
      <c r="N445">
        <f t="shared" si="36"/>
        <v>15.159367671232877</v>
      </c>
      <c r="O445">
        <v>1</v>
      </c>
      <c r="P445">
        <f t="shared" si="37"/>
        <v>16.159367671232879</v>
      </c>
      <c r="Q445" s="1">
        <f>((P445-O445)/O445)</f>
        <v>15.159367671232879</v>
      </c>
      <c r="R445" t="s">
        <v>147</v>
      </c>
    </row>
    <row r="446" spans="1:18" x14ac:dyDescent="0.25">
      <c r="A446" t="s">
        <v>102</v>
      </c>
      <c r="B446" t="s">
        <v>11</v>
      </c>
      <c r="C446" t="s">
        <v>296</v>
      </c>
      <c r="D446" t="s">
        <v>24</v>
      </c>
      <c r="E446" s="5" t="s">
        <v>38</v>
      </c>
      <c r="F446" t="s">
        <v>23</v>
      </c>
      <c r="G446">
        <v>1.391E-2</v>
      </c>
      <c r="H446">
        <v>26</v>
      </c>
      <c r="I446" t="s">
        <v>16</v>
      </c>
      <c r="J446" t="s">
        <v>17</v>
      </c>
      <c r="K446" s="3">
        <v>37165</v>
      </c>
      <c r="L446" s="3">
        <v>44882</v>
      </c>
      <c r="M446" s="2">
        <f t="shared" si="35"/>
        <v>21.142465753424659</v>
      </c>
      <c r="N446">
        <f t="shared" si="36"/>
        <v>0.29409169863013701</v>
      </c>
      <c r="O446">
        <v>0.7</v>
      </c>
      <c r="P446">
        <f t="shared" si="37"/>
        <v>0.99409169863013691</v>
      </c>
      <c r="Q446" s="1">
        <f>((P446-O446)/O446)</f>
        <v>0.42013099804305282</v>
      </c>
    </row>
    <row r="447" spans="1:18" x14ac:dyDescent="0.25">
      <c r="A447" t="s">
        <v>102</v>
      </c>
      <c r="B447" t="s">
        <v>11</v>
      </c>
      <c r="C447" t="s">
        <v>18</v>
      </c>
      <c r="D447" t="s">
        <v>19</v>
      </c>
      <c r="E447" t="s">
        <v>14</v>
      </c>
      <c r="F447" t="s">
        <v>15</v>
      </c>
      <c r="G447" t="s">
        <v>15</v>
      </c>
      <c r="H447">
        <v>19</v>
      </c>
      <c r="I447" t="s">
        <v>16</v>
      </c>
      <c r="J447" t="s">
        <v>17</v>
      </c>
      <c r="K447" s="3">
        <v>37866</v>
      </c>
      <c r="L447" s="3">
        <v>44844</v>
      </c>
      <c r="M447" s="2">
        <f t="shared" si="35"/>
        <v>19.117808219178084</v>
      </c>
      <c r="N447" t="e">
        <f t="shared" si="36"/>
        <v>#VALUE!</v>
      </c>
      <c r="O447" t="s">
        <v>15</v>
      </c>
      <c r="P447" t="e">
        <f t="shared" si="37"/>
        <v>#VALUE!</v>
      </c>
      <c r="Q447" s="1" t="e">
        <f>((P447-O447)/P447)</f>
        <v>#VALUE!</v>
      </c>
    </row>
    <row r="448" spans="1:18" x14ac:dyDescent="0.25">
      <c r="A448" t="s">
        <v>102</v>
      </c>
      <c r="B448" t="s">
        <v>11</v>
      </c>
      <c r="C448" t="s">
        <v>20</v>
      </c>
      <c r="D448" t="s">
        <v>21</v>
      </c>
      <c r="E448" t="s">
        <v>22</v>
      </c>
      <c r="F448" t="s">
        <v>23</v>
      </c>
      <c r="G448" s="2">
        <v>3.5369999999999999</v>
      </c>
      <c r="H448">
        <v>21</v>
      </c>
      <c r="I448" t="s">
        <v>16</v>
      </c>
      <c r="J448" t="s">
        <v>17</v>
      </c>
      <c r="K448" s="3">
        <v>37166</v>
      </c>
      <c r="L448" s="3">
        <v>44844</v>
      </c>
      <c r="M448" s="2">
        <f t="shared" si="35"/>
        <v>21.035616438356165</v>
      </c>
      <c r="N448">
        <f t="shared" si="36"/>
        <v>74.402975342465751</v>
      </c>
      <c r="O448">
        <v>135</v>
      </c>
      <c r="P448">
        <f t="shared" si="37"/>
        <v>209.40297534246577</v>
      </c>
      <c r="Q448" s="1">
        <f>((P448-O448)/O448)</f>
        <v>0.55113315068493163</v>
      </c>
      <c r="R448" t="s">
        <v>170</v>
      </c>
    </row>
    <row r="449" spans="1:18" x14ac:dyDescent="0.25">
      <c r="A449" t="s">
        <v>102</v>
      </c>
      <c r="B449" t="s">
        <v>11</v>
      </c>
      <c r="C449" t="s">
        <v>25</v>
      </c>
      <c r="D449" t="s">
        <v>24</v>
      </c>
      <c r="E449" t="s">
        <v>14</v>
      </c>
      <c r="F449" t="s">
        <v>15</v>
      </c>
      <c r="G449" t="s">
        <v>15</v>
      </c>
      <c r="H449">
        <v>26</v>
      </c>
      <c r="I449" t="s">
        <v>16</v>
      </c>
      <c r="J449" t="s">
        <v>16</v>
      </c>
      <c r="K449" s="3">
        <v>37165</v>
      </c>
      <c r="L449" s="3">
        <v>44844</v>
      </c>
      <c r="M449" s="2">
        <f t="shared" si="35"/>
        <v>21.038356164383561</v>
      </c>
      <c r="N449" t="e">
        <f t="shared" si="36"/>
        <v>#VALUE!</v>
      </c>
      <c r="O449" t="s">
        <v>15</v>
      </c>
      <c r="P449" t="e">
        <f t="shared" si="37"/>
        <v>#VALUE!</v>
      </c>
      <c r="Q449" s="1" t="e">
        <f>((P449-O449)/P449)</f>
        <v>#VALUE!</v>
      </c>
    </row>
    <row r="450" spans="1:18" x14ac:dyDescent="0.25">
      <c r="A450" t="s">
        <v>102</v>
      </c>
      <c r="B450" t="s">
        <v>11</v>
      </c>
      <c r="C450" t="s">
        <v>26</v>
      </c>
      <c r="D450" t="s">
        <v>27</v>
      </c>
      <c r="E450" s="5" t="s">
        <v>28</v>
      </c>
      <c r="F450" t="s">
        <v>29</v>
      </c>
      <c r="G450">
        <v>-0.7</v>
      </c>
      <c r="H450">
        <v>19</v>
      </c>
      <c r="I450" t="s">
        <v>16</v>
      </c>
      <c r="J450" t="s">
        <v>17</v>
      </c>
      <c r="K450" s="3">
        <v>37866</v>
      </c>
      <c r="L450" s="3">
        <v>44844</v>
      </c>
      <c r="M450" s="2">
        <f t="shared" si="35"/>
        <v>19.117808219178084</v>
      </c>
      <c r="N450">
        <f t="shared" si="36"/>
        <v>-13.382465753424658</v>
      </c>
      <c r="O450">
        <v>27</v>
      </c>
      <c r="P450">
        <f t="shared" si="37"/>
        <v>13.617534246575342</v>
      </c>
      <c r="Q450" s="1">
        <f>((P450-O450)/O450)</f>
        <v>-0.49564687975646882</v>
      </c>
    </row>
    <row r="451" spans="1:18" x14ac:dyDescent="0.25">
      <c r="A451" t="s">
        <v>103</v>
      </c>
      <c r="B451" t="s">
        <v>11</v>
      </c>
      <c r="C451" t="s">
        <v>12</v>
      </c>
      <c r="D451" t="s">
        <v>13</v>
      </c>
      <c r="E451" t="s">
        <v>14</v>
      </c>
      <c r="F451" t="s">
        <v>23</v>
      </c>
      <c r="G451" t="s">
        <v>15</v>
      </c>
      <c r="H451">
        <v>34</v>
      </c>
      <c r="I451" t="s">
        <v>16</v>
      </c>
      <c r="J451" t="s">
        <v>16</v>
      </c>
      <c r="K451" s="3">
        <v>37578</v>
      </c>
      <c r="L451" s="3">
        <v>44872</v>
      </c>
      <c r="M451" s="2">
        <f t="shared" si="35"/>
        <v>19.983561643835618</v>
      </c>
      <c r="N451" t="e">
        <f t="shared" si="36"/>
        <v>#VALUE!</v>
      </c>
      <c r="O451" t="s">
        <v>15</v>
      </c>
      <c r="P451" t="e">
        <f t="shared" si="37"/>
        <v>#VALUE!</v>
      </c>
      <c r="Q451" s="1" t="e">
        <f>((P451-O451)/P451)</f>
        <v>#VALUE!</v>
      </c>
      <c r="R451" t="s">
        <v>149</v>
      </c>
    </row>
    <row r="452" spans="1:18" x14ac:dyDescent="0.25">
      <c r="A452" t="s">
        <v>103</v>
      </c>
      <c r="B452" t="s">
        <v>11</v>
      </c>
      <c r="C452" t="s">
        <v>296</v>
      </c>
      <c r="D452" t="s">
        <v>24</v>
      </c>
      <c r="E452" s="4" t="s">
        <v>22</v>
      </c>
      <c r="F452" t="s">
        <v>23</v>
      </c>
      <c r="G452">
        <v>9.2610000000000001E-3</v>
      </c>
      <c r="H452">
        <v>37</v>
      </c>
      <c r="I452" t="s">
        <v>16</v>
      </c>
      <c r="J452" t="s">
        <v>17</v>
      </c>
      <c r="K452" s="3">
        <v>36472</v>
      </c>
      <c r="L452" s="3">
        <v>44872</v>
      </c>
      <c r="M452" s="2">
        <f t="shared" si="35"/>
        <v>23.013698630136986</v>
      </c>
      <c r="N452">
        <f t="shared" si="36"/>
        <v>0.21312986301369863</v>
      </c>
      <c r="O452">
        <v>0.35</v>
      </c>
      <c r="P452">
        <f t="shared" si="37"/>
        <v>0.56312986301369861</v>
      </c>
      <c r="Q452" s="1">
        <f t="shared" ref="Q452:Q458" si="39">((P452-O452)/O452)</f>
        <v>0.6089424657534247</v>
      </c>
      <c r="R452" t="s">
        <v>162</v>
      </c>
    </row>
    <row r="453" spans="1:18" x14ac:dyDescent="0.25">
      <c r="A453" t="s">
        <v>103</v>
      </c>
      <c r="B453" t="s">
        <v>11</v>
      </c>
      <c r="C453" t="s">
        <v>18</v>
      </c>
      <c r="D453" t="s">
        <v>19</v>
      </c>
      <c r="E453" s="4" t="s">
        <v>32</v>
      </c>
      <c r="F453" t="s">
        <v>29</v>
      </c>
      <c r="G453">
        <v>-2.2189999999999999</v>
      </c>
      <c r="H453">
        <v>27</v>
      </c>
      <c r="I453" t="s">
        <v>16</v>
      </c>
      <c r="J453" t="s">
        <v>17</v>
      </c>
      <c r="K453" s="3">
        <v>38271</v>
      </c>
      <c r="L453" s="3">
        <v>44872</v>
      </c>
      <c r="M453" s="2">
        <f t="shared" si="35"/>
        <v>18.084931506849315</v>
      </c>
      <c r="N453">
        <f t="shared" si="36"/>
        <v>-40.13046301369863</v>
      </c>
      <c r="O453">
        <v>75</v>
      </c>
      <c r="P453">
        <f t="shared" si="37"/>
        <v>34.86953698630137</v>
      </c>
      <c r="Q453" s="1">
        <f t="shared" si="39"/>
        <v>-0.53507284018264845</v>
      </c>
      <c r="R453" t="s">
        <v>187</v>
      </c>
    </row>
    <row r="454" spans="1:18" x14ac:dyDescent="0.25">
      <c r="A454" t="s">
        <v>103</v>
      </c>
      <c r="B454" t="s">
        <v>11</v>
      </c>
      <c r="C454" t="s">
        <v>20</v>
      </c>
      <c r="D454" t="s">
        <v>21</v>
      </c>
      <c r="E454" t="s">
        <v>22</v>
      </c>
      <c r="F454" t="s">
        <v>23</v>
      </c>
      <c r="G454" s="2">
        <v>0.5444</v>
      </c>
      <c r="H454">
        <v>33</v>
      </c>
      <c r="I454" t="s">
        <v>16</v>
      </c>
      <c r="J454" t="s">
        <v>16</v>
      </c>
      <c r="K454" s="3">
        <v>36471</v>
      </c>
      <c r="L454" s="3">
        <v>44914</v>
      </c>
      <c r="M454" s="2">
        <f t="shared" si="35"/>
        <v>23.13150684931507</v>
      </c>
      <c r="N454">
        <f t="shared" si="36"/>
        <v>12.592792328767123</v>
      </c>
      <c r="O454">
        <v>43</v>
      </c>
      <c r="P454">
        <f t="shared" si="37"/>
        <v>55.592792328767125</v>
      </c>
      <c r="Q454" s="1">
        <f t="shared" si="39"/>
        <v>0.29285563555272381</v>
      </c>
      <c r="R454" t="s">
        <v>142</v>
      </c>
    </row>
    <row r="455" spans="1:18" x14ac:dyDescent="0.25">
      <c r="A455" t="s">
        <v>103</v>
      </c>
      <c r="B455" t="s">
        <v>11</v>
      </c>
      <c r="C455" t="s">
        <v>25</v>
      </c>
      <c r="D455" t="s">
        <v>24</v>
      </c>
      <c r="E455" s="4" t="s">
        <v>22</v>
      </c>
      <c r="F455" t="s">
        <v>23</v>
      </c>
      <c r="G455">
        <v>1.0859999999999999E-3</v>
      </c>
      <c r="H455">
        <v>37</v>
      </c>
      <c r="I455" t="s">
        <v>31</v>
      </c>
      <c r="J455" t="s">
        <v>17</v>
      </c>
      <c r="K455" s="3">
        <v>36472</v>
      </c>
      <c r="L455" s="3">
        <v>44872</v>
      </c>
      <c r="M455" s="2">
        <f t="shared" si="35"/>
        <v>23.013698630136986</v>
      </c>
      <c r="N455">
        <f t="shared" si="36"/>
        <v>2.4992876712328766E-2</v>
      </c>
      <c r="O455">
        <v>2.1999999999999999E-2</v>
      </c>
      <c r="P455">
        <f t="shared" si="37"/>
        <v>4.6992876712328768E-2</v>
      </c>
      <c r="Q455" s="1">
        <f t="shared" si="39"/>
        <v>1.1360398505603986</v>
      </c>
    </row>
    <row r="456" spans="1:18" x14ac:dyDescent="0.25">
      <c r="A456" t="s">
        <v>103</v>
      </c>
      <c r="B456" t="s">
        <v>11</v>
      </c>
      <c r="C456" t="s">
        <v>26</v>
      </c>
      <c r="D456" t="s">
        <v>27</v>
      </c>
      <c r="E456" s="4" t="s">
        <v>22</v>
      </c>
      <c r="F456" t="s">
        <v>23</v>
      </c>
      <c r="G456">
        <v>0.82279999999999998</v>
      </c>
      <c r="H456">
        <v>27</v>
      </c>
      <c r="I456" t="s">
        <v>17</v>
      </c>
      <c r="J456" t="s">
        <v>17</v>
      </c>
      <c r="K456" s="3">
        <v>38271</v>
      </c>
      <c r="L456" s="3">
        <v>44872</v>
      </c>
      <c r="M456" s="2">
        <f t="shared" ref="M456:M519" si="40">(L456-K456)/365</f>
        <v>18.084931506849315</v>
      </c>
      <c r="N456">
        <f t="shared" ref="N456:N519" si="41">G456*M456</f>
        <v>14.880281643835616</v>
      </c>
      <c r="O456">
        <v>14.5</v>
      </c>
      <c r="P456">
        <f t="shared" ref="P456:P519" si="42">O456+N456</f>
        <v>29.380281643835616</v>
      </c>
      <c r="Q456" s="1">
        <f t="shared" si="39"/>
        <v>1.0262263202645252</v>
      </c>
    </row>
    <row r="457" spans="1:18" x14ac:dyDescent="0.25">
      <c r="A457" t="s">
        <v>309</v>
      </c>
      <c r="B457" t="s">
        <v>11</v>
      </c>
      <c r="C457" t="s">
        <v>12</v>
      </c>
      <c r="D457" t="s">
        <v>13</v>
      </c>
      <c r="E457" s="4" t="s">
        <v>22</v>
      </c>
      <c r="F457" t="s">
        <v>23</v>
      </c>
      <c r="G457">
        <v>0.254</v>
      </c>
      <c r="H457">
        <v>31</v>
      </c>
      <c r="I457" t="s">
        <v>16</v>
      </c>
      <c r="J457" t="s">
        <v>16</v>
      </c>
      <c r="K457" s="3">
        <v>37950</v>
      </c>
      <c r="L457" s="3">
        <v>44908</v>
      </c>
      <c r="M457" s="2">
        <f t="shared" si="40"/>
        <v>19.063013698630137</v>
      </c>
      <c r="N457">
        <f t="shared" si="41"/>
        <v>4.8420054794520544</v>
      </c>
      <c r="O457">
        <v>1.2</v>
      </c>
      <c r="P457">
        <f t="shared" si="42"/>
        <v>6.0420054794520546</v>
      </c>
      <c r="Q457" s="1">
        <f t="shared" si="39"/>
        <v>4.0350045662100458</v>
      </c>
      <c r="R457" t="s">
        <v>144</v>
      </c>
    </row>
    <row r="458" spans="1:18" x14ac:dyDescent="0.25">
      <c r="A458" t="s">
        <v>309</v>
      </c>
      <c r="B458" t="s">
        <v>11</v>
      </c>
      <c r="C458" t="s">
        <v>296</v>
      </c>
      <c r="D458" t="s">
        <v>24</v>
      </c>
      <c r="E458" s="5" t="s">
        <v>38</v>
      </c>
      <c r="F458" t="s">
        <v>23</v>
      </c>
      <c r="G458">
        <v>5.5430000000000002E-3</v>
      </c>
      <c r="H458">
        <v>39</v>
      </c>
      <c r="I458" t="s">
        <v>16</v>
      </c>
      <c r="J458" t="s">
        <v>17</v>
      </c>
      <c r="K458" s="3">
        <v>35928</v>
      </c>
      <c r="L458" s="3">
        <v>44874</v>
      </c>
      <c r="M458" s="2">
        <f t="shared" si="40"/>
        <v>24.509589041095889</v>
      </c>
      <c r="N458">
        <f t="shared" si="41"/>
        <v>0.13585665205479452</v>
      </c>
      <c r="O458">
        <v>0.45</v>
      </c>
      <c r="P458">
        <f t="shared" si="42"/>
        <v>0.58585665205479454</v>
      </c>
      <c r="Q458" s="1">
        <f t="shared" si="39"/>
        <v>0.3019036712328767</v>
      </c>
    </row>
    <row r="459" spans="1:18" x14ac:dyDescent="0.25">
      <c r="A459" t="s">
        <v>309</v>
      </c>
      <c r="B459" t="s">
        <v>11</v>
      </c>
      <c r="C459" t="s">
        <v>18</v>
      </c>
      <c r="D459" t="s">
        <v>19</v>
      </c>
      <c r="E459" t="s">
        <v>14</v>
      </c>
      <c r="F459" t="s">
        <v>15</v>
      </c>
      <c r="G459" t="s">
        <v>15</v>
      </c>
      <c r="H459">
        <v>22</v>
      </c>
      <c r="I459" t="s">
        <v>16</v>
      </c>
      <c r="J459" t="s">
        <v>17</v>
      </c>
      <c r="K459" s="3">
        <v>37950</v>
      </c>
      <c r="L459" s="3">
        <v>44874</v>
      </c>
      <c r="M459" s="2">
        <f t="shared" si="40"/>
        <v>18.969863013698632</v>
      </c>
      <c r="N459" t="e">
        <f t="shared" si="41"/>
        <v>#VALUE!</v>
      </c>
      <c r="O459" t="s">
        <v>15</v>
      </c>
      <c r="P459" t="e">
        <f t="shared" si="42"/>
        <v>#VALUE!</v>
      </c>
      <c r="Q459" s="1" t="e">
        <f>((P459-O459)/P459)</f>
        <v>#VALUE!</v>
      </c>
    </row>
    <row r="460" spans="1:18" x14ac:dyDescent="0.25">
      <c r="A460" t="s">
        <v>309</v>
      </c>
      <c r="B460" t="s">
        <v>11</v>
      </c>
      <c r="C460" t="s">
        <v>20</v>
      </c>
      <c r="D460" t="s">
        <v>21</v>
      </c>
      <c r="E460" t="s">
        <v>22</v>
      </c>
      <c r="F460" t="s">
        <v>23</v>
      </c>
      <c r="G460" s="2">
        <v>3.2519999999999998</v>
      </c>
      <c r="H460">
        <v>34</v>
      </c>
      <c r="I460" t="s">
        <v>16</v>
      </c>
      <c r="J460" t="s">
        <v>16</v>
      </c>
      <c r="K460" s="3">
        <v>35928</v>
      </c>
      <c r="L460" s="3">
        <v>44918</v>
      </c>
      <c r="M460" s="2">
        <f t="shared" si="40"/>
        <v>24.63013698630137</v>
      </c>
      <c r="N460">
        <f t="shared" si="41"/>
        <v>80.097205479452043</v>
      </c>
      <c r="O460">
        <v>190</v>
      </c>
      <c r="P460">
        <f t="shared" si="42"/>
        <v>270.09720547945204</v>
      </c>
      <c r="Q460" s="1">
        <f>((P460-O460)/O460)</f>
        <v>0.42156423936553705</v>
      </c>
      <c r="R460" t="s">
        <v>142</v>
      </c>
    </row>
    <row r="461" spans="1:18" x14ac:dyDescent="0.25">
      <c r="A461" t="s">
        <v>309</v>
      </c>
      <c r="B461" t="s">
        <v>11</v>
      </c>
      <c r="C461" t="s">
        <v>25</v>
      </c>
      <c r="D461" t="s">
        <v>24</v>
      </c>
      <c r="E461" t="s">
        <v>14</v>
      </c>
      <c r="F461" t="s">
        <v>15</v>
      </c>
      <c r="G461" t="s">
        <v>15</v>
      </c>
      <c r="H461">
        <v>32</v>
      </c>
      <c r="I461" t="s">
        <v>16</v>
      </c>
      <c r="J461" t="s">
        <v>31</v>
      </c>
      <c r="K461" s="3">
        <v>35928</v>
      </c>
      <c r="L461" s="3">
        <v>44874</v>
      </c>
      <c r="M461" s="2">
        <f t="shared" si="40"/>
        <v>24.509589041095889</v>
      </c>
      <c r="N461" t="e">
        <f t="shared" si="41"/>
        <v>#VALUE!</v>
      </c>
      <c r="O461" t="s">
        <v>15</v>
      </c>
      <c r="P461" t="e">
        <f t="shared" si="42"/>
        <v>#VALUE!</v>
      </c>
      <c r="Q461" s="1" t="e">
        <f>((P461-O461)/P461)</f>
        <v>#VALUE!</v>
      </c>
    </row>
    <row r="462" spans="1:18" x14ac:dyDescent="0.25">
      <c r="A462" t="s">
        <v>309</v>
      </c>
      <c r="B462" t="s">
        <v>11</v>
      </c>
      <c r="C462" t="s">
        <v>26</v>
      </c>
      <c r="D462" t="s">
        <v>27</v>
      </c>
      <c r="E462" s="4" t="s">
        <v>32</v>
      </c>
      <c r="F462" t="s">
        <v>29</v>
      </c>
      <c r="G462">
        <v>-0.36270000000000002</v>
      </c>
      <c r="H462">
        <v>30</v>
      </c>
      <c r="I462" t="s">
        <v>16</v>
      </c>
      <c r="J462" t="s">
        <v>17</v>
      </c>
      <c r="K462" s="3">
        <v>37950</v>
      </c>
      <c r="L462" s="3">
        <v>44874</v>
      </c>
      <c r="M462" s="2">
        <f t="shared" si="40"/>
        <v>18.969863013698632</v>
      </c>
      <c r="N462">
        <f t="shared" si="41"/>
        <v>-6.8803693150684939</v>
      </c>
      <c r="O462">
        <v>12.5</v>
      </c>
      <c r="P462">
        <f t="shared" si="42"/>
        <v>5.6196306849315061</v>
      </c>
      <c r="Q462" s="1">
        <f>((P462-O462)/O462)</f>
        <v>-0.55042954520547949</v>
      </c>
      <c r="R462" t="s">
        <v>144</v>
      </c>
    </row>
    <row r="463" spans="1:18" x14ac:dyDescent="0.25">
      <c r="A463" t="s">
        <v>310</v>
      </c>
      <c r="B463" t="s">
        <v>11</v>
      </c>
      <c r="C463" t="s">
        <v>12</v>
      </c>
      <c r="D463" t="s">
        <v>13</v>
      </c>
      <c r="E463" s="4" t="s">
        <v>22</v>
      </c>
      <c r="F463" t="s">
        <v>23</v>
      </c>
      <c r="G463">
        <v>0.42949999999999999</v>
      </c>
      <c r="H463">
        <v>33</v>
      </c>
      <c r="I463" t="s">
        <v>16</v>
      </c>
      <c r="J463" t="s">
        <v>17</v>
      </c>
      <c r="K463" s="3">
        <v>37950</v>
      </c>
      <c r="L463" s="3">
        <v>44908</v>
      </c>
      <c r="M463" s="2">
        <f t="shared" si="40"/>
        <v>19.063013698630137</v>
      </c>
      <c r="N463">
        <f t="shared" si="41"/>
        <v>8.187564383561643</v>
      </c>
      <c r="O463">
        <v>3</v>
      </c>
      <c r="P463">
        <f t="shared" si="42"/>
        <v>11.187564383561643</v>
      </c>
      <c r="Q463" s="1">
        <f>((P463-O463)/O463)</f>
        <v>2.729188127853881</v>
      </c>
      <c r="R463" t="s">
        <v>144</v>
      </c>
    </row>
    <row r="464" spans="1:18" x14ac:dyDescent="0.25">
      <c r="A464" t="s">
        <v>310</v>
      </c>
      <c r="B464" t="s">
        <v>11</v>
      </c>
      <c r="C464" t="s">
        <v>296</v>
      </c>
      <c r="D464" t="s">
        <v>24</v>
      </c>
      <c r="E464" s="4" t="s">
        <v>22</v>
      </c>
      <c r="F464" t="s">
        <v>23</v>
      </c>
      <c r="G464">
        <v>1.3690000000000001E-2</v>
      </c>
      <c r="H464">
        <v>41</v>
      </c>
      <c r="I464" t="s">
        <v>16</v>
      </c>
      <c r="J464" t="s">
        <v>33</v>
      </c>
      <c r="K464" s="3">
        <v>35928</v>
      </c>
      <c r="L464" s="3">
        <v>44874</v>
      </c>
      <c r="M464" s="2">
        <f t="shared" si="40"/>
        <v>24.509589041095889</v>
      </c>
      <c r="N464">
        <f t="shared" si="41"/>
        <v>0.33553627397260277</v>
      </c>
      <c r="O464">
        <v>0.5</v>
      </c>
      <c r="P464">
        <f t="shared" si="42"/>
        <v>0.83553627397260277</v>
      </c>
      <c r="Q464" s="1">
        <f>((P464-O464)/O464)</f>
        <v>0.67107254794520554</v>
      </c>
    </row>
    <row r="465" spans="1:18" x14ac:dyDescent="0.25">
      <c r="A465" t="s">
        <v>310</v>
      </c>
      <c r="B465" t="s">
        <v>11</v>
      </c>
      <c r="C465" t="s">
        <v>18</v>
      </c>
      <c r="D465" t="s">
        <v>19</v>
      </c>
      <c r="E465" s="5" t="s">
        <v>38</v>
      </c>
      <c r="F465" t="s">
        <v>23</v>
      </c>
      <c r="G465">
        <v>1.38</v>
      </c>
      <c r="H465">
        <v>27</v>
      </c>
      <c r="I465" t="s">
        <v>17</v>
      </c>
      <c r="J465" t="s">
        <v>17</v>
      </c>
      <c r="K465" s="3">
        <v>38042</v>
      </c>
      <c r="L465" s="3">
        <v>44874</v>
      </c>
      <c r="M465" s="2">
        <f t="shared" si="40"/>
        <v>18.717808219178082</v>
      </c>
      <c r="N465">
        <f t="shared" si="41"/>
        <v>25.83057534246575</v>
      </c>
      <c r="O465">
        <v>57</v>
      </c>
      <c r="P465">
        <f t="shared" si="42"/>
        <v>82.83057534246575</v>
      </c>
      <c r="Q465" s="1">
        <f>((P465-O465)/O465)</f>
        <v>0.45316798846431139</v>
      </c>
      <c r="R465" t="s">
        <v>170</v>
      </c>
    </row>
    <row r="466" spans="1:18" x14ac:dyDescent="0.25">
      <c r="A466" t="s">
        <v>310</v>
      </c>
      <c r="B466" t="s">
        <v>11</v>
      </c>
      <c r="C466" t="s">
        <v>20</v>
      </c>
      <c r="D466" t="s">
        <v>21</v>
      </c>
      <c r="E466" t="s">
        <v>22</v>
      </c>
      <c r="F466" t="s">
        <v>23</v>
      </c>
      <c r="G466" s="2">
        <v>2.89</v>
      </c>
      <c r="H466">
        <v>39</v>
      </c>
      <c r="I466" t="s">
        <v>16</v>
      </c>
      <c r="J466" t="s">
        <v>16</v>
      </c>
      <c r="K466" s="3">
        <v>35928</v>
      </c>
      <c r="L466" s="3">
        <v>44918</v>
      </c>
      <c r="M466" s="2">
        <f t="shared" si="40"/>
        <v>24.63013698630137</v>
      </c>
      <c r="N466">
        <f t="shared" si="41"/>
        <v>71.181095890410958</v>
      </c>
      <c r="O466">
        <v>180</v>
      </c>
      <c r="P466">
        <f t="shared" si="42"/>
        <v>251.18109589041097</v>
      </c>
      <c r="Q466" s="1">
        <f>((P466-O466)/O466)</f>
        <v>0.39545053272450542</v>
      </c>
      <c r="R466" t="s">
        <v>142</v>
      </c>
    </row>
    <row r="467" spans="1:18" x14ac:dyDescent="0.25">
      <c r="A467" t="s">
        <v>310</v>
      </c>
      <c r="B467" t="s">
        <v>11</v>
      </c>
      <c r="C467" t="s">
        <v>25</v>
      </c>
      <c r="D467" t="s">
        <v>24</v>
      </c>
      <c r="E467" t="s">
        <v>14</v>
      </c>
      <c r="F467" t="s">
        <v>15</v>
      </c>
      <c r="G467" t="s">
        <v>15</v>
      </c>
      <c r="H467">
        <v>38</v>
      </c>
      <c r="I467" t="s">
        <v>16</v>
      </c>
      <c r="J467" t="s">
        <v>17</v>
      </c>
      <c r="K467" s="3">
        <v>35928</v>
      </c>
      <c r="L467" s="3">
        <v>44874</v>
      </c>
      <c r="M467" s="2">
        <f t="shared" si="40"/>
        <v>24.509589041095889</v>
      </c>
      <c r="N467" t="e">
        <f t="shared" si="41"/>
        <v>#VALUE!</v>
      </c>
      <c r="O467" t="s">
        <v>15</v>
      </c>
      <c r="P467" t="e">
        <f t="shared" si="42"/>
        <v>#VALUE!</v>
      </c>
      <c r="Q467" s="1" t="e">
        <f>((P467-O467)/P467)</f>
        <v>#VALUE!</v>
      </c>
      <c r="R467" t="s">
        <v>177</v>
      </c>
    </row>
    <row r="468" spans="1:18" x14ac:dyDescent="0.25">
      <c r="A468" t="s">
        <v>310</v>
      </c>
      <c r="B468" t="s">
        <v>11</v>
      </c>
      <c r="C468" t="s">
        <v>26</v>
      </c>
      <c r="D468" t="s">
        <v>27</v>
      </c>
      <c r="E468" s="4" t="s">
        <v>32</v>
      </c>
      <c r="F468" t="s">
        <v>29</v>
      </c>
      <c r="G468">
        <v>-0.68259999999999998</v>
      </c>
      <c r="H468">
        <v>29</v>
      </c>
      <c r="I468" t="s">
        <v>17</v>
      </c>
      <c r="J468" t="s">
        <v>17</v>
      </c>
      <c r="K468" s="3">
        <v>37950</v>
      </c>
      <c r="L468" s="3">
        <v>44874</v>
      </c>
      <c r="M468" s="2">
        <f t="shared" si="40"/>
        <v>18.969863013698632</v>
      </c>
      <c r="N468">
        <f t="shared" si="41"/>
        <v>-12.948828493150685</v>
      </c>
      <c r="O468">
        <v>15</v>
      </c>
      <c r="P468">
        <f t="shared" si="42"/>
        <v>2.0511715068493146</v>
      </c>
      <c r="Q468" s="1">
        <f>((P468-O468)/O468)</f>
        <v>-0.86325523287671235</v>
      </c>
      <c r="R468" t="s">
        <v>144</v>
      </c>
    </row>
    <row r="469" spans="1:18" x14ac:dyDescent="0.25">
      <c r="A469" t="s">
        <v>106</v>
      </c>
      <c r="B469" t="s">
        <v>11</v>
      </c>
      <c r="C469" t="s">
        <v>12</v>
      </c>
      <c r="D469" t="s">
        <v>13</v>
      </c>
      <c r="E469" s="4" t="s">
        <v>22</v>
      </c>
      <c r="F469" t="s">
        <v>23</v>
      </c>
      <c r="G469">
        <v>0.3609</v>
      </c>
      <c r="H469">
        <v>19</v>
      </c>
      <c r="I469" t="s">
        <v>33</v>
      </c>
      <c r="J469" t="s">
        <v>17</v>
      </c>
      <c r="K469" s="3">
        <v>37866</v>
      </c>
      <c r="L469" s="3">
        <v>43407</v>
      </c>
      <c r="M469" s="2">
        <f t="shared" si="40"/>
        <v>15.180821917808219</v>
      </c>
      <c r="N469">
        <f t="shared" si="41"/>
        <v>5.4787586301369862</v>
      </c>
      <c r="O469">
        <v>9</v>
      </c>
      <c r="P469">
        <f t="shared" si="42"/>
        <v>14.478758630136987</v>
      </c>
      <c r="Q469" s="1">
        <f>((P469-O469)/O469)</f>
        <v>0.60875095890410968</v>
      </c>
      <c r="R469" t="s">
        <v>208</v>
      </c>
    </row>
    <row r="470" spans="1:18" x14ac:dyDescent="0.25">
      <c r="A470" t="s">
        <v>106</v>
      </c>
      <c r="B470" t="s">
        <v>11</v>
      </c>
      <c r="C470" t="s">
        <v>296</v>
      </c>
      <c r="D470" t="s">
        <v>24</v>
      </c>
      <c r="E470" s="5" t="s">
        <v>38</v>
      </c>
      <c r="F470" t="s">
        <v>23</v>
      </c>
      <c r="G470">
        <v>1.077E-2</v>
      </c>
      <c r="H470">
        <v>22</v>
      </c>
      <c r="I470" t="s">
        <v>33</v>
      </c>
      <c r="J470" t="s">
        <v>33</v>
      </c>
      <c r="K470" s="3">
        <v>37165</v>
      </c>
      <c r="L470" s="3">
        <v>43339</v>
      </c>
      <c r="M470" s="2">
        <f t="shared" si="40"/>
        <v>16.915068493150685</v>
      </c>
      <c r="N470">
        <f t="shared" si="41"/>
        <v>0.18217528767123287</v>
      </c>
      <c r="O470">
        <v>0.75</v>
      </c>
      <c r="P470">
        <f t="shared" si="42"/>
        <v>0.93217528767123281</v>
      </c>
      <c r="Q470" s="1">
        <f>((P470-O470)/O470)</f>
        <v>0.24290038356164376</v>
      </c>
      <c r="R470" t="s">
        <v>144</v>
      </c>
    </row>
    <row r="471" spans="1:18" x14ac:dyDescent="0.25">
      <c r="A471" t="s">
        <v>106</v>
      </c>
      <c r="B471" t="s">
        <v>11</v>
      </c>
      <c r="C471" t="s">
        <v>18</v>
      </c>
      <c r="D471" t="s">
        <v>19</v>
      </c>
      <c r="E471" t="s">
        <v>14</v>
      </c>
      <c r="F471" t="s">
        <v>15</v>
      </c>
      <c r="G471" t="s">
        <v>15</v>
      </c>
      <c r="H471">
        <v>16</v>
      </c>
      <c r="I471" t="s">
        <v>16</v>
      </c>
      <c r="J471" t="s">
        <v>17</v>
      </c>
      <c r="K471" s="3">
        <v>37866</v>
      </c>
      <c r="L471" s="3">
        <v>46992</v>
      </c>
      <c r="M471" s="2">
        <f t="shared" si="40"/>
        <v>25.002739726027396</v>
      </c>
      <c r="N471" t="e">
        <f t="shared" si="41"/>
        <v>#VALUE!</v>
      </c>
      <c r="O471" t="s">
        <v>15</v>
      </c>
      <c r="P471" t="e">
        <f t="shared" si="42"/>
        <v>#VALUE!</v>
      </c>
      <c r="Q471" s="1" t="e">
        <f>((P471-O471)/P471)</f>
        <v>#VALUE!</v>
      </c>
    </row>
    <row r="472" spans="1:18" x14ac:dyDescent="0.25">
      <c r="A472" t="s">
        <v>106</v>
      </c>
      <c r="B472" t="s">
        <v>11</v>
      </c>
      <c r="C472" t="s">
        <v>20</v>
      </c>
      <c r="D472" t="s">
        <v>21</v>
      </c>
      <c r="E472" t="s">
        <v>22</v>
      </c>
      <c r="F472" t="s">
        <v>23</v>
      </c>
      <c r="G472" s="2">
        <v>5.3109999999999999</v>
      </c>
      <c r="H472">
        <v>22</v>
      </c>
      <c r="I472" t="s">
        <v>16</v>
      </c>
      <c r="J472" t="s">
        <v>31</v>
      </c>
      <c r="K472" s="3">
        <v>37166</v>
      </c>
      <c r="L472" s="3">
        <v>43369</v>
      </c>
      <c r="M472" s="2">
        <f t="shared" si="40"/>
        <v>16.994520547945207</v>
      </c>
      <c r="N472">
        <f t="shared" si="41"/>
        <v>90.257898630136992</v>
      </c>
      <c r="O472">
        <v>120</v>
      </c>
      <c r="P472">
        <f t="shared" si="42"/>
        <v>210.25789863013699</v>
      </c>
      <c r="Q472" s="1">
        <f>((P472-O472)/O472)</f>
        <v>0.75214915525114157</v>
      </c>
      <c r="R472" t="s">
        <v>142</v>
      </c>
    </row>
    <row r="473" spans="1:18" x14ac:dyDescent="0.25">
      <c r="A473" t="s">
        <v>106</v>
      </c>
      <c r="B473" t="s">
        <v>11</v>
      </c>
      <c r="C473" t="s">
        <v>25</v>
      </c>
      <c r="D473" t="s">
        <v>24</v>
      </c>
      <c r="E473" t="s">
        <v>14</v>
      </c>
      <c r="F473" t="s">
        <v>15</v>
      </c>
      <c r="G473" t="s">
        <v>15</v>
      </c>
      <c r="H473">
        <v>22</v>
      </c>
      <c r="I473" t="s">
        <v>16</v>
      </c>
      <c r="J473" t="s">
        <v>17</v>
      </c>
      <c r="K473" s="3">
        <v>37165</v>
      </c>
      <c r="L473" s="3">
        <v>43339</v>
      </c>
      <c r="M473" s="2">
        <f t="shared" si="40"/>
        <v>16.915068493150685</v>
      </c>
      <c r="N473" t="e">
        <f t="shared" si="41"/>
        <v>#VALUE!</v>
      </c>
      <c r="O473" t="s">
        <v>15</v>
      </c>
      <c r="P473" t="e">
        <f t="shared" si="42"/>
        <v>#VALUE!</v>
      </c>
      <c r="Q473" s="1" t="e">
        <f>((P473-O473)/P473)</f>
        <v>#VALUE!</v>
      </c>
    </row>
    <row r="474" spans="1:18" x14ac:dyDescent="0.25">
      <c r="A474" t="s">
        <v>106</v>
      </c>
      <c r="B474" t="s">
        <v>11</v>
      </c>
      <c r="C474" t="s">
        <v>26</v>
      </c>
      <c r="D474" t="s">
        <v>27</v>
      </c>
      <c r="E474" t="s">
        <v>14</v>
      </c>
      <c r="F474" t="s">
        <v>15</v>
      </c>
      <c r="G474" t="s">
        <v>15</v>
      </c>
      <c r="H474">
        <v>16</v>
      </c>
      <c r="I474" t="s">
        <v>33</v>
      </c>
      <c r="J474" t="s">
        <v>17</v>
      </c>
      <c r="K474" s="3">
        <v>37866</v>
      </c>
      <c r="L474" s="3">
        <v>43339</v>
      </c>
      <c r="M474" s="2">
        <f t="shared" si="40"/>
        <v>14.994520547945205</v>
      </c>
      <c r="N474" t="e">
        <f t="shared" si="41"/>
        <v>#VALUE!</v>
      </c>
      <c r="O474" t="s">
        <v>15</v>
      </c>
      <c r="P474" t="e">
        <f t="shared" si="42"/>
        <v>#VALUE!</v>
      </c>
      <c r="Q474" s="1" t="e">
        <f>((P474-O474)/P474)</f>
        <v>#VALUE!</v>
      </c>
    </row>
    <row r="475" spans="1:18" x14ac:dyDescent="0.25">
      <c r="A475" t="s">
        <v>107</v>
      </c>
      <c r="B475" t="s">
        <v>11</v>
      </c>
      <c r="C475" t="s">
        <v>12</v>
      </c>
      <c r="D475" t="s">
        <v>13</v>
      </c>
      <c r="E475" s="4" t="s">
        <v>22</v>
      </c>
      <c r="F475" t="s">
        <v>23</v>
      </c>
      <c r="G475">
        <v>0.125</v>
      </c>
      <c r="H475">
        <v>30</v>
      </c>
      <c r="I475" t="s">
        <v>16</v>
      </c>
      <c r="J475" t="s">
        <v>17</v>
      </c>
      <c r="K475" s="3">
        <v>37781</v>
      </c>
      <c r="L475" s="3">
        <v>44888</v>
      </c>
      <c r="M475" s="2">
        <f t="shared" si="40"/>
        <v>19.471232876712328</v>
      </c>
      <c r="N475">
        <f t="shared" si="41"/>
        <v>2.433904109589041</v>
      </c>
      <c r="O475">
        <v>4.5</v>
      </c>
      <c r="P475">
        <f t="shared" si="42"/>
        <v>6.933904109589041</v>
      </c>
      <c r="Q475" s="1">
        <f>((P475-O475)/O475)</f>
        <v>0.54086757990867573</v>
      </c>
      <c r="R475" t="s">
        <v>144</v>
      </c>
    </row>
    <row r="476" spans="1:18" x14ac:dyDescent="0.25">
      <c r="A476" t="s">
        <v>107</v>
      </c>
      <c r="B476" t="s">
        <v>11</v>
      </c>
      <c r="C476" t="s">
        <v>296</v>
      </c>
      <c r="D476" t="s">
        <v>24</v>
      </c>
      <c r="E476" s="4" t="s">
        <v>40</v>
      </c>
      <c r="F476" t="s">
        <v>23</v>
      </c>
      <c r="G476">
        <v>3.5209999999999998E-3</v>
      </c>
      <c r="H476">
        <v>37</v>
      </c>
      <c r="I476" t="s">
        <v>17</v>
      </c>
      <c r="J476" t="s">
        <v>17</v>
      </c>
      <c r="K476" s="3">
        <v>36451</v>
      </c>
      <c r="L476" s="3">
        <v>44853</v>
      </c>
      <c r="M476" s="2">
        <f t="shared" si="40"/>
        <v>23.019178082191782</v>
      </c>
      <c r="N476">
        <f t="shared" si="41"/>
        <v>8.1050526027397263E-2</v>
      </c>
      <c r="O476">
        <v>0.5</v>
      </c>
      <c r="P476">
        <f t="shared" si="42"/>
        <v>0.58105052602739726</v>
      </c>
      <c r="Q476" s="1">
        <f>((P476-O476)/O476)</f>
        <v>0.16210105205479453</v>
      </c>
      <c r="R476" t="s">
        <v>150</v>
      </c>
    </row>
    <row r="477" spans="1:18" x14ac:dyDescent="0.25">
      <c r="A477" t="s">
        <v>107</v>
      </c>
      <c r="B477" t="s">
        <v>11</v>
      </c>
      <c r="C477" t="s">
        <v>18</v>
      </c>
      <c r="D477" t="s">
        <v>19</v>
      </c>
      <c r="E477" t="s">
        <v>14</v>
      </c>
      <c r="F477" t="s">
        <v>15</v>
      </c>
      <c r="G477" t="s">
        <v>15</v>
      </c>
      <c r="H477">
        <v>23</v>
      </c>
      <c r="I477" t="s">
        <v>17</v>
      </c>
      <c r="J477" t="s">
        <v>17</v>
      </c>
      <c r="K477" s="3">
        <v>38250</v>
      </c>
      <c r="L477" s="3">
        <v>44853</v>
      </c>
      <c r="M477" s="2">
        <f t="shared" si="40"/>
        <v>18.090410958904108</v>
      </c>
      <c r="N477" t="e">
        <f t="shared" si="41"/>
        <v>#VALUE!</v>
      </c>
      <c r="O477" t="s">
        <v>15</v>
      </c>
      <c r="P477" t="e">
        <f t="shared" si="42"/>
        <v>#VALUE!</v>
      </c>
      <c r="Q477" s="1" t="e">
        <f>((P477-O477)/P477)</f>
        <v>#VALUE!</v>
      </c>
      <c r="R477" t="s">
        <v>188</v>
      </c>
    </row>
    <row r="478" spans="1:18" x14ac:dyDescent="0.25">
      <c r="A478" t="s">
        <v>107</v>
      </c>
      <c r="B478" t="s">
        <v>11</v>
      </c>
      <c r="C478" t="s">
        <v>20</v>
      </c>
      <c r="D478" t="s">
        <v>21</v>
      </c>
      <c r="E478" t="s">
        <v>40</v>
      </c>
      <c r="F478" t="s">
        <v>23</v>
      </c>
      <c r="G478" s="2">
        <v>1.621</v>
      </c>
      <c r="H478">
        <v>37</v>
      </c>
      <c r="I478" t="s">
        <v>33</v>
      </c>
      <c r="J478" t="s">
        <v>17</v>
      </c>
      <c r="K478" s="3">
        <v>36452</v>
      </c>
      <c r="L478" s="3">
        <v>44853</v>
      </c>
      <c r="M478" s="2">
        <f t="shared" si="40"/>
        <v>23.016438356164382</v>
      </c>
      <c r="N478">
        <f t="shared" si="41"/>
        <v>37.309646575342462</v>
      </c>
      <c r="O478">
        <v>230</v>
      </c>
      <c r="P478">
        <f t="shared" si="42"/>
        <v>267.30964657534247</v>
      </c>
      <c r="Q478" s="1">
        <f>((P478-O478)/O478)</f>
        <v>0.16221585467540203</v>
      </c>
      <c r="R478" t="s">
        <v>142</v>
      </c>
    </row>
    <row r="479" spans="1:18" x14ac:dyDescent="0.25">
      <c r="A479" t="s">
        <v>107</v>
      </c>
      <c r="B479" t="s">
        <v>11</v>
      </c>
      <c r="C479" t="s">
        <v>25</v>
      </c>
      <c r="D479" t="s">
        <v>24</v>
      </c>
      <c r="E479" t="s">
        <v>14</v>
      </c>
      <c r="F479" t="s">
        <v>15</v>
      </c>
      <c r="G479" t="s">
        <v>15</v>
      </c>
      <c r="H479">
        <v>35</v>
      </c>
      <c r="I479" t="s">
        <v>17</v>
      </c>
      <c r="J479" t="s">
        <v>17</v>
      </c>
      <c r="K479" s="3">
        <v>36451</v>
      </c>
      <c r="L479" s="3">
        <v>44853</v>
      </c>
      <c r="M479" s="2">
        <f t="shared" si="40"/>
        <v>23.019178082191782</v>
      </c>
      <c r="N479" t="e">
        <f t="shared" si="41"/>
        <v>#VALUE!</v>
      </c>
      <c r="O479" t="s">
        <v>15</v>
      </c>
      <c r="P479" t="e">
        <f t="shared" si="42"/>
        <v>#VALUE!</v>
      </c>
      <c r="Q479" s="1" t="e">
        <f>((P479-O479)/P479)</f>
        <v>#VALUE!</v>
      </c>
      <c r="R479" t="s">
        <v>177</v>
      </c>
    </row>
    <row r="480" spans="1:18" x14ac:dyDescent="0.25">
      <c r="A480" t="s">
        <v>107</v>
      </c>
      <c r="B480" t="s">
        <v>11</v>
      </c>
      <c r="C480" t="s">
        <v>26</v>
      </c>
      <c r="D480" t="s">
        <v>27</v>
      </c>
      <c r="E480" t="s">
        <v>14</v>
      </c>
      <c r="F480" t="s">
        <v>15</v>
      </c>
      <c r="G480" t="s">
        <v>15</v>
      </c>
      <c r="H480">
        <v>24</v>
      </c>
      <c r="I480" t="s">
        <v>17</v>
      </c>
      <c r="J480" t="s">
        <v>17</v>
      </c>
      <c r="K480" s="3">
        <v>38250</v>
      </c>
      <c r="L480" s="3">
        <v>44853</v>
      </c>
      <c r="M480" s="2">
        <f t="shared" si="40"/>
        <v>18.090410958904108</v>
      </c>
      <c r="N480" t="e">
        <f t="shared" si="41"/>
        <v>#VALUE!</v>
      </c>
      <c r="O480" t="s">
        <v>15</v>
      </c>
      <c r="P480" t="e">
        <f t="shared" si="42"/>
        <v>#VALUE!</v>
      </c>
      <c r="Q480" s="1" t="e">
        <f>((P480-O480)/P480)</f>
        <v>#VALUE!</v>
      </c>
    </row>
    <row r="481" spans="1:18" x14ac:dyDescent="0.25">
      <c r="A481" t="s">
        <v>108</v>
      </c>
      <c r="B481" t="s">
        <v>11</v>
      </c>
      <c r="C481" t="s">
        <v>12</v>
      </c>
      <c r="D481" t="s">
        <v>13</v>
      </c>
      <c r="E481" t="s">
        <v>14</v>
      </c>
      <c r="F481" t="s">
        <v>15</v>
      </c>
      <c r="G481" t="s">
        <v>15</v>
      </c>
      <c r="H481">
        <v>27</v>
      </c>
      <c r="I481" t="s">
        <v>17</v>
      </c>
      <c r="J481" t="s">
        <v>17</v>
      </c>
      <c r="K481" s="3">
        <v>37735</v>
      </c>
      <c r="L481" s="3">
        <v>44095</v>
      </c>
      <c r="M481" s="2">
        <f t="shared" si="40"/>
        <v>17.424657534246574</v>
      </c>
      <c r="N481" t="e">
        <f t="shared" si="41"/>
        <v>#VALUE!</v>
      </c>
      <c r="O481" t="s">
        <v>15</v>
      </c>
      <c r="P481" t="e">
        <f t="shared" si="42"/>
        <v>#VALUE!</v>
      </c>
      <c r="Q481" s="1" t="e">
        <f>((P481-O481)/P481)</f>
        <v>#VALUE!</v>
      </c>
    </row>
    <row r="482" spans="1:18" x14ac:dyDescent="0.25">
      <c r="A482" t="s">
        <v>108</v>
      </c>
      <c r="B482" t="s">
        <v>11</v>
      </c>
      <c r="C482" t="s">
        <v>296</v>
      </c>
      <c r="D482" t="s">
        <v>24</v>
      </c>
      <c r="E482" s="4" t="s">
        <v>22</v>
      </c>
      <c r="F482" t="s">
        <v>23</v>
      </c>
      <c r="G482">
        <v>1.0160000000000001E-2</v>
      </c>
      <c r="H482">
        <v>31</v>
      </c>
      <c r="I482" t="s">
        <v>31</v>
      </c>
      <c r="J482" t="s">
        <v>31</v>
      </c>
      <c r="K482" s="3">
        <v>36444</v>
      </c>
      <c r="L482" s="3">
        <v>44095</v>
      </c>
      <c r="M482" s="2">
        <f t="shared" si="40"/>
        <v>20.961643835616439</v>
      </c>
      <c r="N482">
        <f t="shared" si="41"/>
        <v>0.21297030136986303</v>
      </c>
      <c r="O482">
        <v>0.47</v>
      </c>
      <c r="P482">
        <f t="shared" si="42"/>
        <v>0.68297030136986303</v>
      </c>
      <c r="Q482" s="1">
        <f>((P482-O482)/O482)</f>
        <v>0.45312830078694272</v>
      </c>
      <c r="R482" t="s">
        <v>162</v>
      </c>
    </row>
    <row r="483" spans="1:18" x14ac:dyDescent="0.25">
      <c r="A483" t="s">
        <v>108</v>
      </c>
      <c r="B483" t="s">
        <v>11</v>
      </c>
      <c r="C483" t="s">
        <v>18</v>
      </c>
      <c r="D483" t="s">
        <v>19</v>
      </c>
      <c r="E483" t="s">
        <v>14</v>
      </c>
      <c r="F483" t="s">
        <v>15</v>
      </c>
      <c r="G483" t="s">
        <v>15</v>
      </c>
      <c r="H483">
        <v>19</v>
      </c>
      <c r="I483" t="s">
        <v>17</v>
      </c>
      <c r="J483" t="s">
        <v>17</v>
      </c>
      <c r="K483" s="3">
        <v>38308</v>
      </c>
      <c r="L483" s="3">
        <v>44095</v>
      </c>
      <c r="M483" s="2">
        <f t="shared" si="40"/>
        <v>15.854794520547944</v>
      </c>
      <c r="N483" t="e">
        <f t="shared" si="41"/>
        <v>#VALUE!</v>
      </c>
      <c r="O483" t="s">
        <v>15</v>
      </c>
      <c r="P483" t="e">
        <f t="shared" si="42"/>
        <v>#VALUE!</v>
      </c>
      <c r="Q483" s="1" t="e">
        <f>((P483-O483)/P483)</f>
        <v>#VALUE!</v>
      </c>
    </row>
    <row r="484" spans="1:18" x14ac:dyDescent="0.25">
      <c r="A484" t="s">
        <v>108</v>
      </c>
      <c r="B484" t="s">
        <v>11</v>
      </c>
      <c r="C484" t="s">
        <v>20</v>
      </c>
      <c r="D484" t="s">
        <v>21</v>
      </c>
      <c r="E484" t="s">
        <v>22</v>
      </c>
      <c r="F484" t="s">
        <v>23</v>
      </c>
      <c r="G484" s="2">
        <v>22.91</v>
      </c>
      <c r="H484">
        <v>31</v>
      </c>
      <c r="I484" t="s">
        <v>16</v>
      </c>
      <c r="J484" t="s">
        <v>16</v>
      </c>
      <c r="K484" s="3">
        <v>36444</v>
      </c>
      <c r="L484" s="3">
        <v>44132</v>
      </c>
      <c r="M484" s="2">
        <f t="shared" si="40"/>
        <v>21.063013698630137</v>
      </c>
      <c r="N484">
        <f t="shared" si="41"/>
        <v>482.55364383561641</v>
      </c>
      <c r="O484">
        <v>1800</v>
      </c>
      <c r="P484">
        <f t="shared" si="42"/>
        <v>2282.5536438356166</v>
      </c>
      <c r="Q484" s="1">
        <f>((P484-O484)/O484)</f>
        <v>0.2680853576864537</v>
      </c>
      <c r="R484" t="s">
        <v>142</v>
      </c>
    </row>
    <row r="485" spans="1:18" x14ac:dyDescent="0.25">
      <c r="A485" t="s">
        <v>108</v>
      </c>
      <c r="B485" t="s">
        <v>11</v>
      </c>
      <c r="C485" t="s">
        <v>25</v>
      </c>
      <c r="D485" t="s">
        <v>24</v>
      </c>
      <c r="E485" t="s">
        <v>14</v>
      </c>
      <c r="F485" t="s">
        <v>15</v>
      </c>
      <c r="G485" t="s">
        <v>15</v>
      </c>
      <c r="H485">
        <v>31</v>
      </c>
      <c r="I485" t="s">
        <v>16</v>
      </c>
      <c r="J485" t="s">
        <v>17</v>
      </c>
      <c r="K485" s="3">
        <v>36444</v>
      </c>
      <c r="L485" s="3">
        <v>44095</v>
      </c>
      <c r="M485" s="2">
        <f t="shared" si="40"/>
        <v>20.961643835616439</v>
      </c>
      <c r="N485" t="e">
        <f t="shared" si="41"/>
        <v>#VALUE!</v>
      </c>
      <c r="O485" t="s">
        <v>15</v>
      </c>
      <c r="P485" t="e">
        <f t="shared" si="42"/>
        <v>#VALUE!</v>
      </c>
      <c r="Q485" s="1" t="e">
        <f>((P485-O485)/P485)</f>
        <v>#VALUE!</v>
      </c>
      <c r="R485" t="s">
        <v>171</v>
      </c>
    </row>
    <row r="486" spans="1:18" x14ac:dyDescent="0.25">
      <c r="A486" t="s">
        <v>108</v>
      </c>
      <c r="B486" t="s">
        <v>11</v>
      </c>
      <c r="C486" t="s">
        <v>26</v>
      </c>
      <c r="D486" t="s">
        <v>27</v>
      </c>
      <c r="E486" s="4" t="s">
        <v>32</v>
      </c>
      <c r="F486" t="s">
        <v>29</v>
      </c>
      <c r="G486">
        <v>-0.15279999999999999</v>
      </c>
      <c r="H486">
        <v>23</v>
      </c>
      <c r="I486" t="s">
        <v>17</v>
      </c>
      <c r="J486" t="s">
        <v>17</v>
      </c>
      <c r="K486" s="3">
        <v>38308</v>
      </c>
      <c r="L486" s="3">
        <v>44095</v>
      </c>
      <c r="M486" s="2">
        <f t="shared" si="40"/>
        <v>15.854794520547944</v>
      </c>
      <c r="N486">
        <f t="shared" si="41"/>
        <v>-2.4226126027397257</v>
      </c>
      <c r="O486">
        <v>5.5</v>
      </c>
      <c r="P486">
        <f t="shared" si="42"/>
        <v>3.0773873972602743</v>
      </c>
      <c r="Q486" s="1">
        <f>((P486-O486)/O486)</f>
        <v>-0.44047501867995015</v>
      </c>
    </row>
    <row r="487" spans="1:18" x14ac:dyDescent="0.25">
      <c r="A487" t="s">
        <v>109</v>
      </c>
      <c r="B487" t="s">
        <v>11</v>
      </c>
      <c r="C487" t="s">
        <v>12</v>
      </c>
      <c r="D487" t="s">
        <v>13</v>
      </c>
      <c r="E487" s="4" t="s">
        <v>38</v>
      </c>
      <c r="F487" t="s">
        <v>23</v>
      </c>
      <c r="G487">
        <v>0.158</v>
      </c>
      <c r="H487">
        <v>30</v>
      </c>
      <c r="K487" s="3">
        <v>37781</v>
      </c>
      <c r="L487" s="3">
        <v>44888</v>
      </c>
      <c r="M487" s="2">
        <f t="shared" si="40"/>
        <v>19.471232876712328</v>
      </c>
      <c r="N487">
        <f t="shared" si="41"/>
        <v>3.076454794520548</v>
      </c>
      <c r="O487">
        <v>4</v>
      </c>
      <c r="P487">
        <f t="shared" si="42"/>
        <v>7.076454794520548</v>
      </c>
      <c r="Q487" s="1">
        <f>((P487-O487)/O487)</f>
        <v>0.76911369863013701</v>
      </c>
      <c r="R487" t="s">
        <v>140</v>
      </c>
    </row>
    <row r="488" spans="1:18" x14ac:dyDescent="0.25">
      <c r="A488" t="s">
        <v>109</v>
      </c>
      <c r="B488" t="s">
        <v>11</v>
      </c>
      <c r="C488" t="s">
        <v>296</v>
      </c>
      <c r="D488" t="s">
        <v>24</v>
      </c>
      <c r="E488" s="4" t="s">
        <v>40</v>
      </c>
      <c r="F488" t="s">
        <v>23</v>
      </c>
      <c r="G488">
        <v>1.5169999999999999E-2</v>
      </c>
      <c r="H488">
        <v>35</v>
      </c>
      <c r="K488" s="3">
        <v>37546</v>
      </c>
      <c r="L488" s="3">
        <v>43706</v>
      </c>
      <c r="M488" s="2">
        <f t="shared" si="40"/>
        <v>16.876712328767123</v>
      </c>
      <c r="N488">
        <f t="shared" si="41"/>
        <v>0.25601972602739725</v>
      </c>
      <c r="O488">
        <v>0.6</v>
      </c>
      <c r="P488">
        <f t="shared" si="42"/>
        <v>0.85601972602739718</v>
      </c>
      <c r="Q488" s="1">
        <f>((P488-O488)/O488)</f>
        <v>0.42669954337899535</v>
      </c>
      <c r="R488" t="s">
        <v>168</v>
      </c>
    </row>
    <row r="489" spans="1:18" x14ac:dyDescent="0.25">
      <c r="A489" t="s">
        <v>109</v>
      </c>
      <c r="B489" t="s">
        <v>11</v>
      </c>
      <c r="C489" t="s">
        <v>18</v>
      </c>
      <c r="D489" t="s">
        <v>19</v>
      </c>
      <c r="E489" s="4" t="s">
        <v>34</v>
      </c>
      <c r="F489" t="s">
        <v>29</v>
      </c>
      <c r="G489">
        <v>-1.863</v>
      </c>
      <c r="H489">
        <v>26</v>
      </c>
      <c r="K489" s="3">
        <v>38287</v>
      </c>
      <c r="L489" s="3">
        <v>43702</v>
      </c>
      <c r="M489" s="2">
        <f t="shared" si="40"/>
        <v>14.835616438356164</v>
      </c>
      <c r="N489">
        <f t="shared" si="41"/>
        <v>-27.638753424657533</v>
      </c>
      <c r="O489">
        <v>118</v>
      </c>
      <c r="P489">
        <f t="shared" si="42"/>
        <v>90.361246575342463</v>
      </c>
      <c r="Q489" s="1">
        <f>((P489-O489)/O489)</f>
        <v>-0.23422672393777574</v>
      </c>
      <c r="R489" t="s">
        <v>189</v>
      </c>
    </row>
    <row r="490" spans="1:18" x14ac:dyDescent="0.25">
      <c r="A490" t="s">
        <v>109</v>
      </c>
      <c r="B490" t="s">
        <v>11</v>
      </c>
      <c r="C490" t="s">
        <v>20</v>
      </c>
      <c r="D490" t="s">
        <v>21</v>
      </c>
      <c r="E490" t="s">
        <v>14</v>
      </c>
      <c r="F490" t="s">
        <v>15</v>
      </c>
      <c r="G490" s="2" t="s">
        <v>15</v>
      </c>
      <c r="H490">
        <v>36</v>
      </c>
      <c r="I490" t="s">
        <v>16</v>
      </c>
      <c r="J490" t="s">
        <v>17</v>
      </c>
      <c r="K490" s="3">
        <v>37546</v>
      </c>
      <c r="L490" s="3">
        <v>43676</v>
      </c>
      <c r="M490" s="2">
        <f t="shared" si="40"/>
        <v>16.794520547945204</v>
      </c>
      <c r="N490" t="e">
        <f t="shared" si="41"/>
        <v>#VALUE!</v>
      </c>
      <c r="O490" t="s">
        <v>15</v>
      </c>
      <c r="P490" t="e">
        <f t="shared" si="42"/>
        <v>#VALUE!</v>
      </c>
      <c r="Q490" s="1" t="e">
        <f>((P490-O490)/P490)</f>
        <v>#VALUE!</v>
      </c>
    </row>
    <row r="491" spans="1:18" x14ac:dyDescent="0.25">
      <c r="A491" t="s">
        <v>109</v>
      </c>
      <c r="B491" t="s">
        <v>11</v>
      </c>
      <c r="C491" t="s">
        <v>25</v>
      </c>
      <c r="D491" t="s">
        <v>24</v>
      </c>
      <c r="E491" t="s">
        <v>14</v>
      </c>
      <c r="F491" t="s">
        <v>15</v>
      </c>
      <c r="G491" t="s">
        <v>15</v>
      </c>
      <c r="H491">
        <v>35</v>
      </c>
      <c r="K491" s="3">
        <v>37546</v>
      </c>
      <c r="L491" s="3">
        <v>43676</v>
      </c>
      <c r="M491" s="2">
        <f t="shared" si="40"/>
        <v>16.794520547945204</v>
      </c>
      <c r="N491" t="e">
        <f t="shared" si="41"/>
        <v>#VALUE!</v>
      </c>
      <c r="O491" t="s">
        <v>15</v>
      </c>
      <c r="P491" t="e">
        <f t="shared" si="42"/>
        <v>#VALUE!</v>
      </c>
      <c r="Q491" s="1" t="e">
        <f>((P491-O491)/P491)</f>
        <v>#VALUE!</v>
      </c>
      <c r="R491" t="s">
        <v>140</v>
      </c>
    </row>
    <row r="492" spans="1:18" x14ac:dyDescent="0.25">
      <c r="A492" t="s">
        <v>109</v>
      </c>
      <c r="B492" t="s">
        <v>11</v>
      </c>
      <c r="C492" t="s">
        <v>26</v>
      </c>
      <c r="D492" t="s">
        <v>27</v>
      </c>
      <c r="E492" t="s">
        <v>14</v>
      </c>
      <c r="F492" t="s">
        <v>15</v>
      </c>
      <c r="G492" t="s">
        <v>15</v>
      </c>
      <c r="H492">
        <v>30</v>
      </c>
      <c r="K492" s="3">
        <v>38287</v>
      </c>
      <c r="L492" s="3">
        <v>43676</v>
      </c>
      <c r="M492" s="2">
        <f t="shared" si="40"/>
        <v>14.764383561643836</v>
      </c>
      <c r="N492" t="e">
        <f t="shared" si="41"/>
        <v>#VALUE!</v>
      </c>
      <c r="O492" t="s">
        <v>15</v>
      </c>
      <c r="P492" t="e">
        <f t="shared" si="42"/>
        <v>#VALUE!</v>
      </c>
      <c r="Q492" s="1" t="e">
        <f>((P492-O492)/P492)</f>
        <v>#VALUE!</v>
      </c>
      <c r="R492" t="s">
        <v>168</v>
      </c>
    </row>
    <row r="493" spans="1:18" x14ac:dyDescent="0.25">
      <c r="A493" t="s">
        <v>210</v>
      </c>
      <c r="B493" t="s">
        <v>11</v>
      </c>
      <c r="C493" t="s">
        <v>12</v>
      </c>
      <c r="D493" t="s">
        <v>13</v>
      </c>
      <c r="E493" s="4" t="s">
        <v>22</v>
      </c>
      <c r="F493" t="s">
        <v>23</v>
      </c>
      <c r="G493">
        <v>7.4429999999999996E-2</v>
      </c>
      <c r="H493">
        <v>29</v>
      </c>
      <c r="I493" t="s">
        <v>16</v>
      </c>
      <c r="J493" t="s">
        <v>17</v>
      </c>
      <c r="K493" s="3">
        <v>37873</v>
      </c>
      <c r="L493" s="3">
        <v>44492</v>
      </c>
      <c r="M493" s="2">
        <f t="shared" si="40"/>
        <v>18.134246575342466</v>
      </c>
      <c r="N493">
        <f t="shared" si="41"/>
        <v>1.3497319726027397</v>
      </c>
      <c r="O493">
        <v>2.4</v>
      </c>
      <c r="P493">
        <f t="shared" si="42"/>
        <v>3.7497319726027394</v>
      </c>
      <c r="Q493" s="1">
        <f>((P493-O493)/O493)</f>
        <v>0.56238832191780819</v>
      </c>
    </row>
    <row r="494" spans="1:18" x14ac:dyDescent="0.25">
      <c r="A494" t="s">
        <v>210</v>
      </c>
      <c r="B494" t="s">
        <v>11</v>
      </c>
      <c r="C494" t="s">
        <v>296</v>
      </c>
      <c r="D494" t="s">
        <v>24</v>
      </c>
      <c r="E494" t="s">
        <v>14</v>
      </c>
      <c r="F494" t="s">
        <v>15</v>
      </c>
      <c r="G494" t="s">
        <v>15</v>
      </c>
      <c r="H494">
        <v>34</v>
      </c>
      <c r="I494" t="s">
        <v>16</v>
      </c>
      <c r="J494" t="s">
        <v>16</v>
      </c>
      <c r="K494" s="3">
        <v>37175</v>
      </c>
      <c r="L494" s="3">
        <v>44460</v>
      </c>
      <c r="M494" s="2">
        <f t="shared" si="40"/>
        <v>19.958904109589042</v>
      </c>
      <c r="N494" t="e">
        <f t="shared" si="41"/>
        <v>#VALUE!</v>
      </c>
      <c r="O494" t="s">
        <v>15</v>
      </c>
      <c r="P494" t="e">
        <f t="shared" si="42"/>
        <v>#VALUE!</v>
      </c>
      <c r="Q494" s="1" t="e">
        <f>((P494-O494)/P494)</f>
        <v>#VALUE!</v>
      </c>
    </row>
    <row r="495" spans="1:18" x14ac:dyDescent="0.25">
      <c r="A495" t="s">
        <v>210</v>
      </c>
      <c r="B495" t="s">
        <v>11</v>
      </c>
      <c r="C495" t="s">
        <v>18</v>
      </c>
      <c r="D495" t="s">
        <v>19</v>
      </c>
      <c r="E495" t="s">
        <v>14</v>
      </c>
      <c r="F495" t="s">
        <v>15</v>
      </c>
      <c r="G495" t="s">
        <v>15</v>
      </c>
      <c r="H495">
        <v>25</v>
      </c>
      <c r="I495" t="s">
        <v>16</v>
      </c>
      <c r="J495" t="s">
        <v>17</v>
      </c>
      <c r="K495" s="3">
        <v>37873</v>
      </c>
      <c r="L495" s="3">
        <v>44460</v>
      </c>
      <c r="M495" s="2">
        <f t="shared" si="40"/>
        <v>18.046575342465754</v>
      </c>
      <c r="N495" t="e">
        <f t="shared" si="41"/>
        <v>#VALUE!</v>
      </c>
      <c r="O495" t="s">
        <v>15</v>
      </c>
      <c r="P495" t="e">
        <f t="shared" si="42"/>
        <v>#VALUE!</v>
      </c>
      <c r="Q495" s="1" t="e">
        <f>((P495-O495)/P495)</f>
        <v>#VALUE!</v>
      </c>
    </row>
    <row r="496" spans="1:18" x14ac:dyDescent="0.25">
      <c r="A496" t="s">
        <v>210</v>
      </c>
      <c r="B496" t="s">
        <v>11</v>
      </c>
      <c r="C496" t="s">
        <v>20</v>
      </c>
      <c r="D496" t="s">
        <v>21</v>
      </c>
      <c r="E496" t="s">
        <v>22</v>
      </c>
      <c r="F496" t="s">
        <v>23</v>
      </c>
      <c r="G496" s="2">
        <v>0.83640000000000003</v>
      </c>
      <c r="H496">
        <v>40</v>
      </c>
      <c r="I496" t="s">
        <v>16</v>
      </c>
      <c r="J496" t="s">
        <v>17</v>
      </c>
      <c r="K496" s="3">
        <v>35590</v>
      </c>
      <c r="L496" s="3">
        <v>45216</v>
      </c>
      <c r="M496" s="2">
        <f t="shared" si="40"/>
        <v>26.372602739726027</v>
      </c>
      <c r="N496">
        <f t="shared" si="41"/>
        <v>22.058044931506849</v>
      </c>
      <c r="O496">
        <v>100</v>
      </c>
      <c r="P496">
        <f t="shared" si="42"/>
        <v>122.05804493150686</v>
      </c>
      <c r="Q496" s="1">
        <f>((P496-O496)/O496)</f>
        <v>0.22058044931506857</v>
      </c>
      <c r="R496" t="s">
        <v>142</v>
      </c>
    </row>
    <row r="497" spans="1:18" x14ac:dyDescent="0.25">
      <c r="A497" t="s">
        <v>210</v>
      </c>
      <c r="B497" t="s">
        <v>11</v>
      </c>
      <c r="C497" t="s">
        <v>25</v>
      </c>
      <c r="D497" t="s">
        <v>24</v>
      </c>
      <c r="E497" t="s">
        <v>14</v>
      </c>
      <c r="F497" t="s">
        <v>15</v>
      </c>
      <c r="G497" t="s">
        <v>15</v>
      </c>
      <c r="H497">
        <v>34</v>
      </c>
      <c r="I497" t="s">
        <v>16</v>
      </c>
      <c r="J497" t="s">
        <v>31</v>
      </c>
      <c r="K497" s="3">
        <v>37175</v>
      </c>
      <c r="L497" s="3">
        <v>44460</v>
      </c>
      <c r="M497" s="2">
        <f t="shared" si="40"/>
        <v>19.958904109589042</v>
      </c>
      <c r="N497" t="e">
        <f t="shared" si="41"/>
        <v>#VALUE!</v>
      </c>
      <c r="O497" t="s">
        <v>15</v>
      </c>
      <c r="P497" t="e">
        <f t="shared" si="42"/>
        <v>#VALUE!</v>
      </c>
      <c r="Q497" s="1" t="e">
        <f>((P497-O497)/P497)</f>
        <v>#VALUE!</v>
      </c>
      <c r="R497" t="s">
        <v>171</v>
      </c>
    </row>
    <row r="498" spans="1:18" x14ac:dyDescent="0.25">
      <c r="A498" t="s">
        <v>210</v>
      </c>
      <c r="B498" t="s">
        <v>11</v>
      </c>
      <c r="C498" t="s">
        <v>26</v>
      </c>
      <c r="D498" t="s">
        <v>27</v>
      </c>
      <c r="E498" s="4" t="s">
        <v>34</v>
      </c>
      <c r="F498" t="s">
        <v>29</v>
      </c>
      <c r="G498">
        <v>-0.70820000000000005</v>
      </c>
      <c r="H498">
        <v>22</v>
      </c>
      <c r="I498" t="s">
        <v>16</v>
      </c>
      <c r="J498" t="s">
        <v>17</v>
      </c>
      <c r="K498" s="3">
        <v>37873</v>
      </c>
      <c r="L498" s="3">
        <v>44460</v>
      </c>
      <c r="M498" s="2">
        <f t="shared" si="40"/>
        <v>18.046575342465754</v>
      </c>
      <c r="N498">
        <f t="shared" si="41"/>
        <v>-12.780584657534249</v>
      </c>
      <c r="O498">
        <v>21</v>
      </c>
      <c r="P498">
        <f t="shared" si="42"/>
        <v>8.2194153424657515</v>
      </c>
      <c r="Q498" s="1">
        <f>((P498-O498)/O498)</f>
        <v>-0.60859926940639275</v>
      </c>
      <c r="R498" t="s">
        <v>144</v>
      </c>
    </row>
    <row r="499" spans="1:18" x14ac:dyDescent="0.25">
      <c r="A499" t="s">
        <v>110</v>
      </c>
      <c r="B499" t="s">
        <v>11</v>
      </c>
      <c r="C499" t="s">
        <v>12</v>
      </c>
      <c r="D499" t="s">
        <v>13</v>
      </c>
      <c r="E499" s="5" t="s">
        <v>40</v>
      </c>
      <c r="F499" t="s">
        <v>23</v>
      </c>
      <c r="G499">
        <v>0.20899999999999999</v>
      </c>
      <c r="H499">
        <v>23</v>
      </c>
      <c r="I499" t="s">
        <v>16</v>
      </c>
      <c r="J499" t="s">
        <v>16</v>
      </c>
      <c r="K499" s="3">
        <v>37888</v>
      </c>
      <c r="L499" s="3">
        <v>43676</v>
      </c>
      <c r="M499" s="2">
        <f t="shared" si="40"/>
        <v>15.857534246575343</v>
      </c>
      <c r="N499">
        <f t="shared" si="41"/>
        <v>3.3142246575342464</v>
      </c>
      <c r="O499">
        <v>3</v>
      </c>
      <c r="P499">
        <f t="shared" si="42"/>
        <v>6.3142246575342469</v>
      </c>
      <c r="Q499" s="1">
        <f>((P499-O499)/O499)</f>
        <v>1.1047415525114157</v>
      </c>
      <c r="R499" t="s">
        <v>145</v>
      </c>
    </row>
    <row r="500" spans="1:18" x14ac:dyDescent="0.25">
      <c r="A500" t="s">
        <v>110</v>
      </c>
      <c r="B500" t="s">
        <v>11</v>
      </c>
      <c r="C500" t="s">
        <v>296</v>
      </c>
      <c r="D500" t="s">
        <v>24</v>
      </c>
      <c r="E500" s="4" t="s">
        <v>22</v>
      </c>
      <c r="F500" t="s">
        <v>23</v>
      </c>
      <c r="G500">
        <v>1.5599999999999999E-2</v>
      </c>
      <c r="H500">
        <v>28</v>
      </c>
      <c r="I500" t="s">
        <v>17</v>
      </c>
      <c r="J500" t="s">
        <v>33</v>
      </c>
      <c r="K500" s="3">
        <v>37181</v>
      </c>
      <c r="L500" s="3">
        <v>43668</v>
      </c>
      <c r="M500" s="2">
        <f t="shared" si="40"/>
        <v>17.772602739726029</v>
      </c>
      <c r="N500">
        <f t="shared" si="41"/>
        <v>0.27725260273972602</v>
      </c>
      <c r="O500">
        <v>0.36</v>
      </c>
      <c r="P500">
        <f t="shared" si="42"/>
        <v>0.63725260273972606</v>
      </c>
      <c r="Q500" s="1">
        <f>((P500-O500)/O500)</f>
        <v>0.77014611872146133</v>
      </c>
    </row>
    <row r="501" spans="1:18" x14ac:dyDescent="0.25">
      <c r="A501" t="s">
        <v>110</v>
      </c>
      <c r="B501" t="s">
        <v>11</v>
      </c>
      <c r="C501" t="s">
        <v>18</v>
      </c>
      <c r="D501" t="s">
        <v>19</v>
      </c>
      <c r="E501" s="4" t="s">
        <v>32</v>
      </c>
      <c r="F501" t="s">
        <v>29</v>
      </c>
      <c r="G501">
        <v>-2.65</v>
      </c>
      <c r="H501">
        <v>22</v>
      </c>
      <c r="I501" t="s">
        <v>31</v>
      </c>
      <c r="J501" t="s">
        <v>17</v>
      </c>
      <c r="K501" s="3">
        <v>37888</v>
      </c>
      <c r="L501" s="3">
        <v>43668</v>
      </c>
      <c r="M501" s="2">
        <f t="shared" si="40"/>
        <v>15.835616438356164</v>
      </c>
      <c r="N501">
        <f t="shared" si="41"/>
        <v>-41.964383561643835</v>
      </c>
      <c r="O501">
        <v>119</v>
      </c>
      <c r="P501">
        <f t="shared" si="42"/>
        <v>77.035616438356158</v>
      </c>
      <c r="Q501" s="1">
        <f>((P501-O501)/O501)</f>
        <v>-0.35264187866927599</v>
      </c>
      <c r="R501" t="s">
        <v>147</v>
      </c>
    </row>
    <row r="502" spans="1:18" x14ac:dyDescent="0.25">
      <c r="A502" t="s">
        <v>110</v>
      </c>
      <c r="B502" t="s">
        <v>11</v>
      </c>
      <c r="C502" t="s">
        <v>20</v>
      </c>
      <c r="D502" t="s">
        <v>21</v>
      </c>
      <c r="E502" t="s">
        <v>22</v>
      </c>
      <c r="F502" t="s">
        <v>23</v>
      </c>
      <c r="G502" s="2">
        <v>3.63</v>
      </c>
      <c r="H502">
        <v>26</v>
      </c>
      <c r="I502" t="s">
        <v>16</v>
      </c>
      <c r="J502" t="s">
        <v>16</v>
      </c>
      <c r="K502" s="3">
        <v>37181</v>
      </c>
      <c r="L502" s="3">
        <v>43700</v>
      </c>
      <c r="M502" s="2">
        <f t="shared" si="40"/>
        <v>17.860273972602741</v>
      </c>
      <c r="N502">
        <f t="shared" si="41"/>
        <v>64.832794520547949</v>
      </c>
      <c r="O502">
        <v>160</v>
      </c>
      <c r="P502">
        <f t="shared" si="42"/>
        <v>224.83279452054796</v>
      </c>
      <c r="Q502" s="1">
        <f>((P502-O502)/O502)</f>
        <v>0.4052049657534248</v>
      </c>
      <c r="R502" t="s">
        <v>142</v>
      </c>
    </row>
    <row r="503" spans="1:18" x14ac:dyDescent="0.25">
      <c r="A503" t="s">
        <v>110</v>
      </c>
      <c r="B503" t="s">
        <v>11</v>
      </c>
      <c r="C503" t="s">
        <v>25</v>
      </c>
      <c r="D503" t="s">
        <v>24</v>
      </c>
      <c r="E503" t="s">
        <v>14</v>
      </c>
      <c r="F503" t="s">
        <v>15</v>
      </c>
      <c r="G503" t="s">
        <v>15</v>
      </c>
      <c r="H503">
        <v>28</v>
      </c>
      <c r="I503" t="s">
        <v>16</v>
      </c>
      <c r="J503" t="s">
        <v>17</v>
      </c>
      <c r="K503" s="3">
        <v>37181</v>
      </c>
      <c r="L503" s="3">
        <v>43668</v>
      </c>
      <c r="M503" s="2">
        <f t="shared" si="40"/>
        <v>17.772602739726029</v>
      </c>
      <c r="N503" t="e">
        <f t="shared" si="41"/>
        <v>#VALUE!</v>
      </c>
      <c r="O503" t="s">
        <v>15</v>
      </c>
      <c r="P503" t="e">
        <f t="shared" si="42"/>
        <v>#VALUE!</v>
      </c>
      <c r="Q503" s="1" t="e">
        <f>((P503-O503)/P503)</f>
        <v>#VALUE!</v>
      </c>
    </row>
    <row r="504" spans="1:18" x14ac:dyDescent="0.25">
      <c r="A504" t="s">
        <v>110</v>
      </c>
      <c r="B504" t="s">
        <v>11</v>
      </c>
      <c r="C504" t="s">
        <v>26</v>
      </c>
      <c r="D504" t="s">
        <v>27</v>
      </c>
      <c r="E504" s="4" t="s">
        <v>22</v>
      </c>
      <c r="F504" t="s">
        <v>23</v>
      </c>
      <c r="G504">
        <v>0.53369999999999995</v>
      </c>
      <c r="H504">
        <v>22</v>
      </c>
      <c r="I504" t="s">
        <v>16</v>
      </c>
      <c r="J504" t="s">
        <v>17</v>
      </c>
      <c r="K504" s="3">
        <v>37888</v>
      </c>
      <c r="L504" s="3">
        <v>43668</v>
      </c>
      <c r="M504" s="2">
        <f t="shared" si="40"/>
        <v>15.835616438356164</v>
      </c>
      <c r="N504">
        <f t="shared" si="41"/>
        <v>8.4514684931506832</v>
      </c>
      <c r="O504">
        <v>3</v>
      </c>
      <c r="P504">
        <f t="shared" si="42"/>
        <v>11.451468493150683</v>
      </c>
      <c r="Q504" s="1">
        <f>((P504-O504)/O504)</f>
        <v>2.8171561643835612</v>
      </c>
    </row>
    <row r="505" spans="1:18" x14ac:dyDescent="0.25">
      <c r="A505" t="s">
        <v>111</v>
      </c>
      <c r="B505" t="s">
        <v>11</v>
      </c>
      <c r="C505" t="s">
        <v>12</v>
      </c>
      <c r="D505" t="s">
        <v>13</v>
      </c>
      <c r="E505" t="s">
        <v>14</v>
      </c>
      <c r="F505" t="s">
        <v>15</v>
      </c>
      <c r="G505" t="s">
        <v>15</v>
      </c>
      <c r="H505">
        <v>20</v>
      </c>
      <c r="I505" t="s">
        <v>16</v>
      </c>
      <c r="J505" t="s">
        <v>17</v>
      </c>
      <c r="K505" s="3">
        <v>37629</v>
      </c>
      <c r="L505" s="3">
        <v>44419</v>
      </c>
      <c r="M505" s="2">
        <f t="shared" si="40"/>
        <v>18.602739726027398</v>
      </c>
      <c r="N505" t="e">
        <f t="shared" si="41"/>
        <v>#VALUE!</v>
      </c>
      <c r="O505" t="s">
        <v>15</v>
      </c>
      <c r="P505" t="e">
        <f t="shared" si="42"/>
        <v>#VALUE!</v>
      </c>
      <c r="Q505" s="1" t="e">
        <f>((P505-O505)/P505)</f>
        <v>#VALUE!</v>
      </c>
    </row>
    <row r="506" spans="1:18" x14ac:dyDescent="0.25">
      <c r="A506" t="s">
        <v>111</v>
      </c>
      <c r="B506" t="s">
        <v>11</v>
      </c>
      <c r="C506" t="s">
        <v>296</v>
      </c>
      <c r="D506" t="s">
        <v>24</v>
      </c>
      <c r="E506" t="s">
        <v>14</v>
      </c>
      <c r="F506" t="s">
        <v>15</v>
      </c>
      <c r="G506" t="s">
        <v>15</v>
      </c>
      <c r="H506">
        <v>24</v>
      </c>
      <c r="I506" t="s">
        <v>31</v>
      </c>
      <c r="J506" t="s">
        <v>16</v>
      </c>
      <c r="K506" s="3">
        <v>35934</v>
      </c>
      <c r="L506" s="3">
        <v>44419</v>
      </c>
      <c r="M506" s="2">
        <f t="shared" si="40"/>
        <v>23.246575342465754</v>
      </c>
      <c r="N506" t="e">
        <f t="shared" si="41"/>
        <v>#VALUE!</v>
      </c>
      <c r="O506" t="s">
        <v>15</v>
      </c>
      <c r="P506" t="e">
        <f t="shared" si="42"/>
        <v>#VALUE!</v>
      </c>
      <c r="Q506" s="1" t="e">
        <f>((P506-O506)/P506)</f>
        <v>#VALUE!</v>
      </c>
      <c r="R506" t="s">
        <v>166</v>
      </c>
    </row>
    <row r="507" spans="1:18" x14ac:dyDescent="0.25">
      <c r="A507" t="s">
        <v>111</v>
      </c>
      <c r="B507" t="s">
        <v>11</v>
      </c>
      <c r="C507" t="s">
        <v>18</v>
      </c>
      <c r="D507" t="s">
        <v>19</v>
      </c>
      <c r="E507" s="5" t="s">
        <v>28</v>
      </c>
      <c r="F507" t="s">
        <v>29</v>
      </c>
      <c r="G507">
        <v>-3.2330000000000001</v>
      </c>
      <c r="H507">
        <v>17</v>
      </c>
      <c r="I507" t="s">
        <v>16</v>
      </c>
      <c r="J507" t="s">
        <v>31</v>
      </c>
      <c r="K507" s="3">
        <v>36822</v>
      </c>
      <c r="L507" s="3">
        <v>44456</v>
      </c>
      <c r="M507" s="2">
        <f t="shared" si="40"/>
        <v>20.915068493150685</v>
      </c>
      <c r="N507">
        <f t="shared" si="41"/>
        <v>-67.618416438356164</v>
      </c>
      <c r="O507">
        <v>210</v>
      </c>
      <c r="P507">
        <f t="shared" si="42"/>
        <v>142.38158356164382</v>
      </c>
      <c r="Q507" s="1">
        <f>((P507-O507)/O507)</f>
        <v>-0.32199245923026754</v>
      </c>
      <c r="R507" t="s">
        <v>147</v>
      </c>
    </row>
    <row r="508" spans="1:18" x14ac:dyDescent="0.25">
      <c r="A508" t="s">
        <v>111</v>
      </c>
      <c r="B508" t="s">
        <v>11</v>
      </c>
      <c r="C508" t="s">
        <v>20</v>
      </c>
      <c r="D508" t="s">
        <v>21</v>
      </c>
      <c r="E508" t="s">
        <v>38</v>
      </c>
      <c r="F508" t="s">
        <v>23</v>
      </c>
      <c r="G508" s="2">
        <v>1.0649999999999999</v>
      </c>
      <c r="H508">
        <v>24</v>
      </c>
      <c r="I508" t="s">
        <v>16</v>
      </c>
      <c r="J508" t="s">
        <v>33</v>
      </c>
      <c r="K508" s="3">
        <v>36824</v>
      </c>
      <c r="L508" s="3">
        <v>44419</v>
      </c>
      <c r="M508" s="2">
        <f t="shared" si="40"/>
        <v>20.80821917808219</v>
      </c>
      <c r="N508">
        <f t="shared" si="41"/>
        <v>22.160753424657532</v>
      </c>
      <c r="O508">
        <v>70</v>
      </c>
      <c r="P508">
        <f t="shared" si="42"/>
        <v>92.160753424657528</v>
      </c>
      <c r="Q508" s="1">
        <f>((P508-O508)/O508)</f>
        <v>0.31658219178082181</v>
      </c>
      <c r="R508" t="s">
        <v>142</v>
      </c>
    </row>
    <row r="509" spans="1:18" x14ac:dyDescent="0.25">
      <c r="A509" t="s">
        <v>111</v>
      </c>
      <c r="B509" t="s">
        <v>11</v>
      </c>
      <c r="C509" t="s">
        <v>25</v>
      </c>
      <c r="D509" t="s">
        <v>24</v>
      </c>
      <c r="E509" t="s">
        <v>14</v>
      </c>
      <c r="F509" t="s">
        <v>15</v>
      </c>
      <c r="G509" t="s">
        <v>15</v>
      </c>
      <c r="H509">
        <v>24</v>
      </c>
      <c r="I509" t="s">
        <v>33</v>
      </c>
      <c r="J509" t="s">
        <v>16</v>
      </c>
      <c r="K509" s="3">
        <v>35934</v>
      </c>
      <c r="L509" s="3">
        <v>44419</v>
      </c>
      <c r="M509" s="2">
        <f t="shared" si="40"/>
        <v>23.246575342465754</v>
      </c>
      <c r="N509" t="e">
        <f t="shared" si="41"/>
        <v>#VALUE!</v>
      </c>
      <c r="O509" t="s">
        <v>15</v>
      </c>
      <c r="P509" t="e">
        <f t="shared" si="42"/>
        <v>#VALUE!</v>
      </c>
      <c r="Q509" s="1" t="e">
        <f>((P509-O509)/P509)</f>
        <v>#VALUE!</v>
      </c>
    </row>
    <row r="510" spans="1:18" x14ac:dyDescent="0.25">
      <c r="A510" t="s">
        <v>111</v>
      </c>
      <c r="B510" t="s">
        <v>11</v>
      </c>
      <c r="C510" t="s">
        <v>26</v>
      </c>
      <c r="D510" t="s">
        <v>27</v>
      </c>
      <c r="E510" t="s">
        <v>14</v>
      </c>
      <c r="F510" t="s">
        <v>15</v>
      </c>
      <c r="G510" t="s">
        <v>15</v>
      </c>
      <c r="H510">
        <v>16</v>
      </c>
      <c r="I510" t="s">
        <v>16</v>
      </c>
      <c r="J510" t="s">
        <v>17</v>
      </c>
      <c r="K510" s="3">
        <v>36822</v>
      </c>
      <c r="L510" s="3">
        <v>44419</v>
      </c>
      <c r="M510" s="2">
        <f t="shared" si="40"/>
        <v>20.813698630136987</v>
      </c>
      <c r="N510" t="e">
        <f t="shared" si="41"/>
        <v>#VALUE!</v>
      </c>
      <c r="O510" t="s">
        <v>15</v>
      </c>
      <c r="P510" t="e">
        <f t="shared" si="42"/>
        <v>#VALUE!</v>
      </c>
      <c r="Q510" s="1" t="e">
        <f>((P510-O510)/P510)</f>
        <v>#VALUE!</v>
      </c>
    </row>
    <row r="511" spans="1:18" x14ac:dyDescent="0.25">
      <c r="A511" t="s">
        <v>112</v>
      </c>
      <c r="B511" t="s">
        <v>11</v>
      </c>
      <c r="C511" t="s">
        <v>12</v>
      </c>
      <c r="D511" t="s">
        <v>13</v>
      </c>
      <c r="E511" t="s">
        <v>14</v>
      </c>
      <c r="F511" t="s">
        <v>15</v>
      </c>
      <c r="G511" t="s">
        <v>15</v>
      </c>
      <c r="H511">
        <v>22</v>
      </c>
      <c r="I511" t="s">
        <v>16</v>
      </c>
      <c r="J511" t="s">
        <v>31</v>
      </c>
      <c r="K511" s="3">
        <v>37629</v>
      </c>
      <c r="L511" s="3">
        <v>44419</v>
      </c>
      <c r="M511" s="2">
        <f t="shared" si="40"/>
        <v>18.602739726027398</v>
      </c>
      <c r="N511" t="e">
        <f t="shared" si="41"/>
        <v>#VALUE!</v>
      </c>
      <c r="O511" t="s">
        <v>15</v>
      </c>
      <c r="P511" t="e">
        <f t="shared" si="42"/>
        <v>#VALUE!</v>
      </c>
      <c r="Q511" s="1" t="e">
        <f>((P511-O511)/P511)</f>
        <v>#VALUE!</v>
      </c>
    </row>
    <row r="512" spans="1:18" x14ac:dyDescent="0.25">
      <c r="A512" t="s">
        <v>112</v>
      </c>
      <c r="B512" t="s">
        <v>11</v>
      </c>
      <c r="C512" t="s">
        <v>296</v>
      </c>
      <c r="D512" t="s">
        <v>24</v>
      </c>
      <c r="E512" t="s">
        <v>14</v>
      </c>
      <c r="F512" t="s">
        <v>15</v>
      </c>
      <c r="G512" t="s">
        <v>15</v>
      </c>
      <c r="H512">
        <v>26</v>
      </c>
      <c r="I512" t="s">
        <v>16</v>
      </c>
      <c r="J512" t="s">
        <v>16</v>
      </c>
      <c r="K512" s="3">
        <v>35934</v>
      </c>
      <c r="L512" s="3">
        <v>44419</v>
      </c>
      <c r="M512" s="2">
        <f t="shared" si="40"/>
        <v>23.246575342465754</v>
      </c>
      <c r="N512" t="e">
        <f t="shared" si="41"/>
        <v>#VALUE!</v>
      </c>
      <c r="O512" t="s">
        <v>15</v>
      </c>
      <c r="P512" t="e">
        <f t="shared" si="42"/>
        <v>#VALUE!</v>
      </c>
      <c r="Q512" s="1" t="e">
        <f>((P512-O512)/P512)</f>
        <v>#VALUE!</v>
      </c>
    </row>
    <row r="513" spans="1:18" x14ac:dyDescent="0.25">
      <c r="A513" t="s">
        <v>112</v>
      </c>
      <c r="B513" t="s">
        <v>11</v>
      </c>
      <c r="C513" t="s">
        <v>18</v>
      </c>
      <c r="D513" t="s">
        <v>19</v>
      </c>
      <c r="E513" t="s">
        <v>14</v>
      </c>
      <c r="F513" t="s">
        <v>15</v>
      </c>
      <c r="G513" t="s">
        <v>15</v>
      </c>
      <c r="H513">
        <v>21</v>
      </c>
      <c r="I513" t="s">
        <v>16</v>
      </c>
      <c r="J513" t="s">
        <v>17</v>
      </c>
      <c r="K513" s="3">
        <v>36822</v>
      </c>
      <c r="L513" s="3">
        <v>44419</v>
      </c>
      <c r="M513" s="2">
        <f t="shared" si="40"/>
        <v>20.813698630136987</v>
      </c>
      <c r="N513" t="e">
        <f t="shared" si="41"/>
        <v>#VALUE!</v>
      </c>
      <c r="O513" t="s">
        <v>15</v>
      </c>
      <c r="P513" t="e">
        <f t="shared" si="42"/>
        <v>#VALUE!</v>
      </c>
      <c r="Q513" s="1" t="e">
        <f>((P513-O513)/P513)</f>
        <v>#VALUE!</v>
      </c>
    </row>
    <row r="514" spans="1:18" x14ac:dyDescent="0.25">
      <c r="A514" t="s">
        <v>112</v>
      </c>
      <c r="B514" t="s">
        <v>11</v>
      </c>
      <c r="C514" t="s">
        <v>20</v>
      </c>
      <c r="D514" t="s">
        <v>21</v>
      </c>
      <c r="E514" t="s">
        <v>22</v>
      </c>
      <c r="F514" t="s">
        <v>23</v>
      </c>
      <c r="G514" s="2">
        <v>1.746</v>
      </c>
      <c r="H514">
        <v>28</v>
      </c>
      <c r="I514" t="s">
        <v>16</v>
      </c>
      <c r="J514" t="s">
        <v>31</v>
      </c>
      <c r="K514" s="3">
        <v>36824</v>
      </c>
      <c r="L514" s="3">
        <v>44271</v>
      </c>
      <c r="M514" s="2">
        <f t="shared" si="40"/>
        <v>20.402739726027399</v>
      </c>
      <c r="N514">
        <f t="shared" si="41"/>
        <v>35.623183561643835</v>
      </c>
      <c r="O514">
        <v>75</v>
      </c>
      <c r="P514">
        <f t="shared" si="42"/>
        <v>110.62318356164383</v>
      </c>
      <c r="Q514" s="1">
        <f>((P514-O514)/O514)</f>
        <v>0.47497578082191771</v>
      </c>
      <c r="R514" t="s">
        <v>142</v>
      </c>
    </row>
    <row r="515" spans="1:18" x14ac:dyDescent="0.25">
      <c r="A515" t="s">
        <v>112</v>
      </c>
      <c r="B515" t="s">
        <v>11</v>
      </c>
      <c r="C515" t="s">
        <v>25</v>
      </c>
      <c r="D515" t="s">
        <v>24</v>
      </c>
      <c r="E515" t="s">
        <v>14</v>
      </c>
      <c r="F515" t="s">
        <v>15</v>
      </c>
      <c r="G515" t="s">
        <v>15</v>
      </c>
      <c r="H515">
        <v>24</v>
      </c>
      <c r="I515" t="s">
        <v>16</v>
      </c>
      <c r="J515" t="s">
        <v>17</v>
      </c>
      <c r="K515" s="3">
        <v>35934</v>
      </c>
      <c r="L515" s="3">
        <v>44419</v>
      </c>
      <c r="M515" s="2">
        <f t="shared" si="40"/>
        <v>23.246575342465754</v>
      </c>
      <c r="N515" t="e">
        <f t="shared" si="41"/>
        <v>#VALUE!</v>
      </c>
      <c r="O515" t="s">
        <v>15</v>
      </c>
      <c r="P515" t="e">
        <f t="shared" si="42"/>
        <v>#VALUE!</v>
      </c>
      <c r="Q515" s="1" t="e">
        <f t="shared" ref="Q515:Q520" si="43">((P515-O515)/P515)</f>
        <v>#VALUE!</v>
      </c>
      <c r="R515" t="s">
        <v>171</v>
      </c>
    </row>
    <row r="516" spans="1:18" x14ac:dyDescent="0.25">
      <c r="A516" t="s">
        <v>112</v>
      </c>
      <c r="B516" t="s">
        <v>11</v>
      </c>
      <c r="C516" t="s">
        <v>26</v>
      </c>
      <c r="D516" t="s">
        <v>27</v>
      </c>
      <c r="E516" t="s">
        <v>14</v>
      </c>
      <c r="F516" t="s">
        <v>15</v>
      </c>
      <c r="G516" t="s">
        <v>15</v>
      </c>
      <c r="H516">
        <v>21</v>
      </c>
      <c r="I516" t="s">
        <v>16</v>
      </c>
      <c r="J516" t="s">
        <v>17</v>
      </c>
      <c r="K516" s="3">
        <v>36822</v>
      </c>
      <c r="L516" s="3">
        <v>44419</v>
      </c>
      <c r="M516" s="2">
        <f t="shared" si="40"/>
        <v>20.813698630136987</v>
      </c>
      <c r="N516" t="e">
        <f t="shared" si="41"/>
        <v>#VALUE!</v>
      </c>
      <c r="O516" t="s">
        <v>15</v>
      </c>
      <c r="P516" t="e">
        <f t="shared" si="42"/>
        <v>#VALUE!</v>
      </c>
      <c r="Q516" s="1" t="e">
        <f t="shared" si="43"/>
        <v>#VALUE!</v>
      </c>
      <c r="R516" t="s">
        <v>193</v>
      </c>
    </row>
    <row r="517" spans="1:18" x14ac:dyDescent="0.25">
      <c r="A517" t="s">
        <v>113</v>
      </c>
      <c r="B517" t="s">
        <v>11</v>
      </c>
      <c r="C517" t="s">
        <v>12</v>
      </c>
      <c r="D517" t="s">
        <v>13</v>
      </c>
      <c r="E517" t="s">
        <v>14</v>
      </c>
      <c r="F517" t="s">
        <v>15</v>
      </c>
      <c r="G517" t="s">
        <v>15</v>
      </c>
      <c r="H517">
        <v>15</v>
      </c>
      <c r="I517" t="s">
        <v>16</v>
      </c>
      <c r="J517" t="s">
        <v>17</v>
      </c>
      <c r="K517" s="3">
        <v>37958</v>
      </c>
      <c r="L517" s="3">
        <v>43306</v>
      </c>
      <c r="M517" s="2">
        <f t="shared" si="40"/>
        <v>14.652054794520549</v>
      </c>
      <c r="N517" t="e">
        <f t="shared" si="41"/>
        <v>#VALUE!</v>
      </c>
      <c r="O517" t="s">
        <v>15</v>
      </c>
      <c r="P517" t="e">
        <f t="shared" si="42"/>
        <v>#VALUE!</v>
      </c>
      <c r="Q517" s="1" t="e">
        <f t="shared" si="43"/>
        <v>#VALUE!</v>
      </c>
    </row>
    <row r="518" spans="1:18" x14ac:dyDescent="0.25">
      <c r="A518" t="s">
        <v>113</v>
      </c>
      <c r="B518" t="s">
        <v>11</v>
      </c>
      <c r="C518" t="s">
        <v>296</v>
      </c>
      <c r="D518" t="s">
        <v>24</v>
      </c>
      <c r="E518" t="s">
        <v>14</v>
      </c>
      <c r="F518" t="s">
        <v>15</v>
      </c>
      <c r="G518" t="s">
        <v>15</v>
      </c>
      <c r="H518">
        <v>24</v>
      </c>
      <c r="I518" t="s">
        <v>16</v>
      </c>
      <c r="J518" t="s">
        <v>17</v>
      </c>
      <c r="K518" s="3">
        <v>35928</v>
      </c>
      <c r="L518" s="3">
        <v>43306</v>
      </c>
      <c r="M518" s="2">
        <f t="shared" si="40"/>
        <v>20.213698630136985</v>
      </c>
      <c r="N518" t="e">
        <f t="shared" si="41"/>
        <v>#VALUE!</v>
      </c>
      <c r="O518" t="s">
        <v>15</v>
      </c>
      <c r="P518" t="e">
        <f t="shared" si="42"/>
        <v>#VALUE!</v>
      </c>
      <c r="Q518" s="1" t="e">
        <f t="shared" si="43"/>
        <v>#VALUE!</v>
      </c>
    </row>
    <row r="519" spans="1:18" x14ac:dyDescent="0.25">
      <c r="A519" t="s">
        <v>113</v>
      </c>
      <c r="B519" t="s">
        <v>11</v>
      </c>
      <c r="C519" t="s">
        <v>18</v>
      </c>
      <c r="D519" t="s">
        <v>19</v>
      </c>
      <c r="E519" t="s">
        <v>186</v>
      </c>
      <c r="F519" t="s">
        <v>15</v>
      </c>
      <c r="G519" t="s">
        <v>15</v>
      </c>
      <c r="H519">
        <v>12</v>
      </c>
      <c r="I519" t="s">
        <v>16</v>
      </c>
      <c r="J519" t="s">
        <v>17</v>
      </c>
      <c r="K519"/>
      <c r="L519"/>
      <c r="M519" s="2">
        <f t="shared" si="40"/>
        <v>0</v>
      </c>
      <c r="N519" t="e">
        <f t="shared" si="41"/>
        <v>#VALUE!</v>
      </c>
      <c r="O519" t="s">
        <v>15</v>
      </c>
      <c r="P519" t="e">
        <f t="shared" si="42"/>
        <v>#VALUE!</v>
      </c>
      <c r="Q519" s="1" t="e">
        <f t="shared" si="43"/>
        <v>#VALUE!</v>
      </c>
      <c r="R519" t="s">
        <v>203</v>
      </c>
    </row>
    <row r="520" spans="1:18" x14ac:dyDescent="0.25">
      <c r="A520" t="s">
        <v>113</v>
      </c>
      <c r="B520" t="s">
        <v>11</v>
      </c>
      <c r="C520" t="s">
        <v>20</v>
      </c>
      <c r="D520" t="s">
        <v>21</v>
      </c>
      <c r="E520" t="s">
        <v>14</v>
      </c>
      <c r="F520" t="s">
        <v>15</v>
      </c>
      <c r="G520" s="2" t="s">
        <v>15</v>
      </c>
      <c r="H520">
        <v>25</v>
      </c>
      <c r="I520" t="s">
        <v>16</v>
      </c>
      <c r="J520" t="s">
        <v>17</v>
      </c>
      <c r="K520" s="3">
        <v>35928</v>
      </c>
      <c r="L520" s="3">
        <v>43215</v>
      </c>
      <c r="M520" s="2">
        <f t="shared" ref="M520:M583" si="44">(L520-K520)/365</f>
        <v>19.964383561643835</v>
      </c>
      <c r="N520" t="e">
        <f t="shared" ref="N520:N583" si="45">G520*M520</f>
        <v>#VALUE!</v>
      </c>
      <c r="O520" t="s">
        <v>15</v>
      </c>
      <c r="P520" t="e">
        <f t="shared" ref="P520" si="46">O520+N520</f>
        <v>#VALUE!</v>
      </c>
      <c r="Q520" s="1" t="e">
        <f t="shared" si="43"/>
        <v>#VALUE!</v>
      </c>
      <c r="R520" t="s">
        <v>195</v>
      </c>
    </row>
    <row r="521" spans="1:18" x14ac:dyDescent="0.25">
      <c r="A521" t="s">
        <v>113</v>
      </c>
      <c r="B521" t="s">
        <v>11</v>
      </c>
      <c r="C521" t="s">
        <v>25</v>
      </c>
      <c r="D521" t="s">
        <v>24</v>
      </c>
      <c r="E521" s="4" t="s">
        <v>32</v>
      </c>
      <c r="F521" t="s">
        <v>29</v>
      </c>
      <c r="G521">
        <v>-4.446E-2</v>
      </c>
      <c r="H521">
        <v>23</v>
      </c>
      <c r="I521" t="s">
        <v>16</v>
      </c>
      <c r="J521" t="s">
        <v>31</v>
      </c>
      <c r="K521" s="3">
        <v>35928</v>
      </c>
      <c r="L521" s="3">
        <v>43342</v>
      </c>
      <c r="M521" s="2">
        <f t="shared" si="44"/>
        <v>20.312328767123287</v>
      </c>
      <c r="N521">
        <f t="shared" si="45"/>
        <v>-0.90308613698630136</v>
      </c>
      <c r="O521">
        <v>0.14499999999999999</v>
      </c>
      <c r="P521">
        <v>0</v>
      </c>
      <c r="Q521" s="1">
        <f>((P521-O521)/O521)</f>
        <v>-1</v>
      </c>
      <c r="R521" t="s">
        <v>147</v>
      </c>
    </row>
    <row r="522" spans="1:18" x14ac:dyDescent="0.25">
      <c r="A522" t="s">
        <v>113</v>
      </c>
      <c r="B522" t="s">
        <v>11</v>
      </c>
      <c r="C522" t="s">
        <v>26</v>
      </c>
      <c r="D522" t="s">
        <v>27</v>
      </c>
      <c r="E522" t="s">
        <v>186</v>
      </c>
      <c r="F522" t="s">
        <v>15</v>
      </c>
      <c r="G522" t="s">
        <v>15</v>
      </c>
      <c r="H522">
        <v>12</v>
      </c>
      <c r="I522" t="s">
        <v>16</v>
      </c>
      <c r="J522" t="s">
        <v>17</v>
      </c>
      <c r="K522"/>
      <c r="L522"/>
      <c r="M522" s="2">
        <f t="shared" si="44"/>
        <v>0</v>
      </c>
      <c r="N522" t="e">
        <f t="shared" si="45"/>
        <v>#VALUE!</v>
      </c>
      <c r="O522" t="s">
        <v>15</v>
      </c>
      <c r="P522" t="e">
        <f t="shared" ref="P522:P553" si="47">O522+N522</f>
        <v>#VALUE!</v>
      </c>
      <c r="Q522" s="1" t="e">
        <f>((P522-O522)/P522)</f>
        <v>#VALUE!</v>
      </c>
      <c r="R522" t="s">
        <v>203</v>
      </c>
    </row>
    <row r="523" spans="1:18" x14ac:dyDescent="0.25">
      <c r="A523" t="s">
        <v>311</v>
      </c>
      <c r="B523" t="s">
        <v>11</v>
      </c>
      <c r="C523" t="s">
        <v>12</v>
      </c>
      <c r="D523" t="s">
        <v>13</v>
      </c>
      <c r="E523" s="5" t="s">
        <v>40</v>
      </c>
      <c r="F523" t="s">
        <v>15</v>
      </c>
      <c r="G523">
        <v>0.1789</v>
      </c>
      <c r="H523">
        <v>60</v>
      </c>
      <c r="I523" t="s">
        <v>33</v>
      </c>
      <c r="J523" t="s">
        <v>17</v>
      </c>
      <c r="K523" s="3">
        <v>36439</v>
      </c>
      <c r="L523" s="3">
        <v>44831</v>
      </c>
      <c r="M523" s="2">
        <f t="shared" si="44"/>
        <v>22.991780821917807</v>
      </c>
      <c r="N523">
        <f t="shared" si="45"/>
        <v>4.1132295890410955</v>
      </c>
      <c r="O523">
        <v>8.5</v>
      </c>
      <c r="P523">
        <f t="shared" si="47"/>
        <v>12.613229589041095</v>
      </c>
      <c r="Q523" s="1">
        <f>((P523-O523)/O523)</f>
        <v>0.48390936341659946</v>
      </c>
      <c r="R523" t="s">
        <v>150</v>
      </c>
    </row>
    <row r="524" spans="1:18" x14ac:dyDescent="0.25">
      <c r="A524" t="s">
        <v>311</v>
      </c>
      <c r="B524" t="s">
        <v>11</v>
      </c>
      <c r="C524" t="s">
        <v>296</v>
      </c>
      <c r="D524" t="s">
        <v>24</v>
      </c>
      <c r="E524" t="s">
        <v>14</v>
      </c>
      <c r="F524" t="s">
        <v>15</v>
      </c>
      <c r="G524" t="s">
        <v>15</v>
      </c>
      <c r="H524">
        <v>39</v>
      </c>
      <c r="I524" t="s">
        <v>17</v>
      </c>
      <c r="J524" t="s">
        <v>17</v>
      </c>
      <c r="K524" s="3">
        <v>36439</v>
      </c>
      <c r="L524" s="3">
        <v>44831</v>
      </c>
      <c r="M524" s="2">
        <f t="shared" si="44"/>
        <v>22.991780821917807</v>
      </c>
      <c r="N524" t="e">
        <f t="shared" si="45"/>
        <v>#VALUE!</v>
      </c>
      <c r="O524" t="s">
        <v>15</v>
      </c>
      <c r="P524" t="e">
        <f t="shared" si="47"/>
        <v>#VALUE!</v>
      </c>
      <c r="Q524" s="1" t="e">
        <f>((P524-O524)/P524)</f>
        <v>#VALUE!</v>
      </c>
      <c r="R524" t="s">
        <v>169</v>
      </c>
    </row>
    <row r="525" spans="1:18" x14ac:dyDescent="0.25">
      <c r="A525" t="s">
        <v>311</v>
      </c>
      <c r="B525" t="s">
        <v>11</v>
      </c>
      <c r="C525" t="s">
        <v>18</v>
      </c>
      <c r="D525" t="s">
        <v>19</v>
      </c>
      <c r="E525" t="s">
        <v>14</v>
      </c>
      <c r="F525" t="s">
        <v>15</v>
      </c>
      <c r="G525" t="s">
        <v>15</v>
      </c>
      <c r="H525">
        <v>35</v>
      </c>
      <c r="I525" t="s">
        <v>17</v>
      </c>
      <c r="J525" t="s">
        <v>17</v>
      </c>
      <c r="K525" s="3">
        <v>36439</v>
      </c>
      <c r="L525" s="3">
        <v>44831</v>
      </c>
      <c r="M525" s="2">
        <f t="shared" si="44"/>
        <v>22.991780821917807</v>
      </c>
      <c r="N525" t="e">
        <f t="shared" si="45"/>
        <v>#VALUE!</v>
      </c>
      <c r="O525" t="s">
        <v>15</v>
      </c>
      <c r="P525" t="e">
        <f t="shared" si="47"/>
        <v>#VALUE!</v>
      </c>
      <c r="Q525" s="1" t="e">
        <f>((P525-O525)/P525)</f>
        <v>#VALUE!</v>
      </c>
    </row>
    <row r="526" spans="1:18" x14ac:dyDescent="0.25">
      <c r="A526" t="s">
        <v>311</v>
      </c>
      <c r="B526" t="s">
        <v>11</v>
      </c>
      <c r="C526" t="s">
        <v>20</v>
      </c>
      <c r="D526" t="s">
        <v>21</v>
      </c>
      <c r="E526" t="s">
        <v>38</v>
      </c>
      <c r="F526" t="s">
        <v>23</v>
      </c>
      <c r="G526" s="2">
        <v>1.0529999999999999</v>
      </c>
      <c r="H526">
        <v>39</v>
      </c>
      <c r="I526" t="s">
        <v>16</v>
      </c>
      <c r="J526" t="s">
        <v>17</v>
      </c>
      <c r="K526" s="3">
        <v>36439</v>
      </c>
      <c r="L526" s="3">
        <v>44831</v>
      </c>
      <c r="M526" s="2">
        <f t="shared" si="44"/>
        <v>22.991780821917807</v>
      </c>
      <c r="N526">
        <f t="shared" si="45"/>
        <v>24.210345205479449</v>
      </c>
      <c r="O526">
        <v>170</v>
      </c>
      <c r="P526">
        <f t="shared" si="47"/>
        <v>194.21034520547946</v>
      </c>
      <c r="Q526" s="1">
        <f>((P526-O526)/O526)</f>
        <v>0.14241379532634973</v>
      </c>
      <c r="R526" t="s">
        <v>170</v>
      </c>
    </row>
    <row r="527" spans="1:18" x14ac:dyDescent="0.25">
      <c r="A527" t="s">
        <v>311</v>
      </c>
      <c r="B527" t="s">
        <v>11</v>
      </c>
      <c r="C527" t="s">
        <v>25</v>
      </c>
      <c r="D527" t="s">
        <v>24</v>
      </c>
      <c r="E527" s="4" t="s">
        <v>32</v>
      </c>
      <c r="F527" t="s">
        <v>29</v>
      </c>
      <c r="G527">
        <v>-1.06E-3</v>
      </c>
      <c r="H527">
        <v>36</v>
      </c>
      <c r="I527" t="s">
        <v>17</v>
      </c>
      <c r="J527" t="s">
        <v>16</v>
      </c>
      <c r="K527" s="3">
        <v>36439</v>
      </c>
      <c r="L527" s="3">
        <v>44872</v>
      </c>
      <c r="M527" s="2">
        <f t="shared" si="44"/>
        <v>23.104109589041094</v>
      </c>
      <c r="N527">
        <f t="shared" si="45"/>
        <v>-2.449035616438356E-2</v>
      </c>
      <c r="O527">
        <v>0.05</v>
      </c>
      <c r="P527">
        <f t="shared" si="47"/>
        <v>2.5509643835616443E-2</v>
      </c>
      <c r="Q527" s="1">
        <f>((P527-O527)/O527)</f>
        <v>-0.48980712328767118</v>
      </c>
      <c r="R527" t="s">
        <v>147</v>
      </c>
    </row>
    <row r="528" spans="1:18" x14ac:dyDescent="0.25">
      <c r="A528" t="s">
        <v>311</v>
      </c>
      <c r="B528" t="s">
        <v>11</v>
      </c>
      <c r="C528" t="s">
        <v>26</v>
      </c>
      <c r="D528" t="s">
        <v>27</v>
      </c>
      <c r="E528" t="s">
        <v>14</v>
      </c>
      <c r="F528" t="s">
        <v>15</v>
      </c>
      <c r="G528" t="s">
        <v>15</v>
      </c>
      <c r="H528">
        <v>39</v>
      </c>
      <c r="I528" t="s">
        <v>33</v>
      </c>
      <c r="J528" t="s">
        <v>17</v>
      </c>
      <c r="K528" s="3">
        <v>36439</v>
      </c>
      <c r="L528" s="3">
        <v>44831</v>
      </c>
      <c r="M528" s="2">
        <f t="shared" si="44"/>
        <v>22.991780821917807</v>
      </c>
      <c r="N528" t="e">
        <f t="shared" si="45"/>
        <v>#VALUE!</v>
      </c>
      <c r="O528" t="s">
        <v>15</v>
      </c>
      <c r="P528" t="e">
        <f t="shared" si="47"/>
        <v>#VALUE!</v>
      </c>
      <c r="Q528" s="1" t="e">
        <f>((P528-O528)/P528)</f>
        <v>#VALUE!</v>
      </c>
      <c r="R528" t="s">
        <v>194</v>
      </c>
    </row>
    <row r="529" spans="1:18" x14ac:dyDescent="0.25">
      <c r="A529" t="s">
        <v>115</v>
      </c>
      <c r="B529" t="s">
        <v>11</v>
      </c>
      <c r="C529" t="s">
        <v>12</v>
      </c>
      <c r="D529" t="s">
        <v>13</v>
      </c>
      <c r="E529" s="5" t="s">
        <v>22</v>
      </c>
      <c r="F529" t="s">
        <v>23</v>
      </c>
      <c r="G529">
        <v>0.5806</v>
      </c>
      <c r="H529">
        <v>35</v>
      </c>
      <c r="I529" t="s">
        <v>17</v>
      </c>
      <c r="J529" t="s">
        <v>17</v>
      </c>
      <c r="K529" s="3">
        <v>37662</v>
      </c>
      <c r="L529" s="3">
        <v>44492</v>
      </c>
      <c r="M529" s="2">
        <f t="shared" si="44"/>
        <v>18.712328767123289</v>
      </c>
      <c r="N529">
        <f t="shared" si="45"/>
        <v>10.864378082191781</v>
      </c>
      <c r="O529">
        <v>12</v>
      </c>
      <c r="P529">
        <f t="shared" si="47"/>
        <v>22.864378082191781</v>
      </c>
      <c r="Q529" s="1">
        <f>((P529-O529)/O529)</f>
        <v>0.9053648401826484</v>
      </c>
      <c r="R529" t="s">
        <v>139</v>
      </c>
    </row>
    <row r="530" spans="1:18" x14ac:dyDescent="0.25">
      <c r="A530" t="s">
        <v>115</v>
      </c>
      <c r="B530" t="s">
        <v>11</v>
      </c>
      <c r="C530" t="s">
        <v>296</v>
      </c>
      <c r="D530" t="s">
        <v>24</v>
      </c>
      <c r="E530" s="4" t="s">
        <v>40</v>
      </c>
      <c r="F530" t="s">
        <v>23</v>
      </c>
      <c r="G530">
        <v>6.9490000000000003E-3</v>
      </c>
      <c r="H530">
        <v>33</v>
      </c>
      <c r="I530" t="s">
        <v>17</v>
      </c>
      <c r="J530" t="s">
        <v>16</v>
      </c>
      <c r="K530" s="3">
        <v>37557</v>
      </c>
      <c r="L530" s="3">
        <v>44493</v>
      </c>
      <c r="M530" s="2">
        <f t="shared" si="44"/>
        <v>19.002739726027396</v>
      </c>
      <c r="N530">
        <f t="shared" si="45"/>
        <v>0.13205003835616438</v>
      </c>
      <c r="O530">
        <v>0.7</v>
      </c>
      <c r="P530">
        <f t="shared" si="47"/>
        <v>0.83205003835616431</v>
      </c>
      <c r="Q530" s="1">
        <f>((P530-O530)/O530)</f>
        <v>0.18864291193737767</v>
      </c>
      <c r="R530" t="s">
        <v>170</v>
      </c>
    </row>
    <row r="531" spans="1:18" x14ac:dyDescent="0.25">
      <c r="A531" t="s">
        <v>115</v>
      </c>
      <c r="B531" t="s">
        <v>11</v>
      </c>
      <c r="C531" t="s">
        <v>18</v>
      </c>
      <c r="D531" t="s">
        <v>19</v>
      </c>
      <c r="E531" t="s">
        <v>14</v>
      </c>
      <c r="F531" t="s">
        <v>15</v>
      </c>
      <c r="G531" t="s">
        <v>15</v>
      </c>
      <c r="H531">
        <v>29</v>
      </c>
      <c r="I531" t="s">
        <v>17</v>
      </c>
      <c r="J531" t="s">
        <v>17</v>
      </c>
      <c r="K531" s="3">
        <v>38320</v>
      </c>
      <c r="L531" s="3">
        <v>44459</v>
      </c>
      <c r="M531" s="2">
        <f t="shared" si="44"/>
        <v>16.81917808219178</v>
      </c>
      <c r="N531" t="e">
        <f t="shared" si="45"/>
        <v>#VALUE!</v>
      </c>
      <c r="O531" t="s">
        <v>15</v>
      </c>
      <c r="P531" t="e">
        <f t="shared" si="47"/>
        <v>#VALUE!</v>
      </c>
      <c r="Q531" s="1" t="e">
        <f>((P531-O531)/P531)</f>
        <v>#VALUE!</v>
      </c>
    </row>
    <row r="532" spans="1:18" x14ac:dyDescent="0.25">
      <c r="A532" t="s">
        <v>115</v>
      </c>
      <c r="B532" t="s">
        <v>11</v>
      </c>
      <c r="C532" t="s">
        <v>20</v>
      </c>
      <c r="D532" t="s">
        <v>21</v>
      </c>
      <c r="E532" t="s">
        <v>186</v>
      </c>
      <c r="F532" t="s">
        <v>15</v>
      </c>
      <c r="G532" t="s">
        <v>15</v>
      </c>
      <c r="H532">
        <v>16</v>
      </c>
      <c r="I532" t="s">
        <v>17</v>
      </c>
      <c r="J532" t="s">
        <v>16</v>
      </c>
      <c r="K532"/>
      <c r="L532"/>
      <c r="M532" s="2">
        <f t="shared" si="44"/>
        <v>0</v>
      </c>
      <c r="N532" t="e">
        <f t="shared" si="45"/>
        <v>#VALUE!</v>
      </c>
      <c r="O532" t="s">
        <v>15</v>
      </c>
      <c r="P532" t="e">
        <f t="shared" si="47"/>
        <v>#VALUE!</v>
      </c>
      <c r="Q532" s="1" t="e">
        <f>((P532-O532)/P532)</f>
        <v>#VALUE!</v>
      </c>
      <c r="R532" t="s">
        <v>203</v>
      </c>
    </row>
    <row r="533" spans="1:18" x14ac:dyDescent="0.25">
      <c r="A533" t="s">
        <v>115</v>
      </c>
      <c r="B533" t="s">
        <v>11</v>
      </c>
      <c r="C533" t="s">
        <v>25</v>
      </c>
      <c r="D533" t="s">
        <v>24</v>
      </c>
      <c r="E533" t="s">
        <v>14</v>
      </c>
      <c r="F533" t="s">
        <v>15</v>
      </c>
      <c r="G533" t="s">
        <v>15</v>
      </c>
      <c r="H533">
        <v>33</v>
      </c>
      <c r="I533" t="s">
        <v>17</v>
      </c>
      <c r="J533" t="s">
        <v>31</v>
      </c>
      <c r="K533" s="3">
        <v>37557</v>
      </c>
      <c r="L533" s="3">
        <v>44459</v>
      </c>
      <c r="M533" s="2">
        <f t="shared" si="44"/>
        <v>18.909589041095892</v>
      </c>
      <c r="N533" t="e">
        <f t="shared" si="45"/>
        <v>#VALUE!</v>
      </c>
      <c r="O533" t="s">
        <v>15</v>
      </c>
      <c r="P533" t="e">
        <f t="shared" si="47"/>
        <v>#VALUE!</v>
      </c>
      <c r="Q533" s="1" t="e">
        <f>((P533-O533)/P533)</f>
        <v>#VALUE!</v>
      </c>
      <c r="R533" t="s">
        <v>178</v>
      </c>
    </row>
    <row r="534" spans="1:18" x14ac:dyDescent="0.25">
      <c r="A534" t="s">
        <v>115</v>
      </c>
      <c r="B534" t="s">
        <v>11</v>
      </c>
      <c r="C534" t="s">
        <v>26</v>
      </c>
      <c r="D534" t="s">
        <v>27</v>
      </c>
      <c r="E534" t="s">
        <v>14</v>
      </c>
      <c r="F534" t="s">
        <v>15</v>
      </c>
      <c r="G534" t="s">
        <v>15</v>
      </c>
      <c r="H534">
        <v>24</v>
      </c>
      <c r="I534" t="s">
        <v>17</v>
      </c>
      <c r="J534" t="s">
        <v>17</v>
      </c>
      <c r="K534" s="3">
        <v>38320</v>
      </c>
      <c r="L534" s="3">
        <v>44459</v>
      </c>
      <c r="M534" s="2">
        <f t="shared" si="44"/>
        <v>16.81917808219178</v>
      </c>
      <c r="N534" t="e">
        <f t="shared" si="45"/>
        <v>#VALUE!</v>
      </c>
      <c r="O534" t="s">
        <v>15</v>
      </c>
      <c r="P534" t="e">
        <f t="shared" si="47"/>
        <v>#VALUE!</v>
      </c>
      <c r="Q534" s="1" t="e">
        <f>((P534-O534)/P534)</f>
        <v>#VALUE!</v>
      </c>
      <c r="R534" t="s">
        <v>195</v>
      </c>
    </row>
    <row r="535" spans="1:18" x14ac:dyDescent="0.25">
      <c r="A535" t="s">
        <v>116</v>
      </c>
      <c r="B535" t="s">
        <v>11</v>
      </c>
      <c r="C535" t="s">
        <v>12</v>
      </c>
      <c r="D535" t="s">
        <v>13</v>
      </c>
      <c r="E535" s="5" t="s">
        <v>22</v>
      </c>
      <c r="F535" t="s">
        <v>23</v>
      </c>
      <c r="G535">
        <v>0.64900000000000002</v>
      </c>
      <c r="H535">
        <v>279</v>
      </c>
      <c r="K535" s="3">
        <v>36643</v>
      </c>
      <c r="L535" s="3">
        <v>44860</v>
      </c>
      <c r="M535" s="2">
        <f t="shared" si="44"/>
        <v>22.512328767123286</v>
      </c>
      <c r="N535">
        <f t="shared" si="45"/>
        <v>14.610501369863012</v>
      </c>
      <c r="O535">
        <v>12.5</v>
      </c>
      <c r="P535">
        <f t="shared" si="47"/>
        <v>27.110501369863012</v>
      </c>
      <c r="Q535" s="1">
        <f t="shared" ref="Q535:Q542" si="48">((P535-O535)/O535)</f>
        <v>1.1688401095890411</v>
      </c>
      <c r="R535" t="s">
        <v>140</v>
      </c>
    </row>
    <row r="536" spans="1:18" x14ac:dyDescent="0.25">
      <c r="A536" t="s">
        <v>116</v>
      </c>
      <c r="B536" t="s">
        <v>11</v>
      </c>
      <c r="C536" t="s">
        <v>296</v>
      </c>
      <c r="D536" t="s">
        <v>24</v>
      </c>
      <c r="E536" s="4" t="s">
        <v>22</v>
      </c>
      <c r="F536" t="s">
        <v>23</v>
      </c>
      <c r="G536">
        <v>1.044E-2</v>
      </c>
      <c r="H536">
        <v>233</v>
      </c>
      <c r="K536" s="3">
        <v>35970</v>
      </c>
      <c r="L536" s="3">
        <v>44860</v>
      </c>
      <c r="M536" s="2">
        <f t="shared" si="44"/>
        <v>24.356164383561644</v>
      </c>
      <c r="N536">
        <f t="shared" si="45"/>
        <v>0.25427835616438355</v>
      </c>
      <c r="O536">
        <v>0.8</v>
      </c>
      <c r="P536">
        <f t="shared" si="47"/>
        <v>1.0542783561643836</v>
      </c>
      <c r="Q536" s="1">
        <f t="shared" si="48"/>
        <v>0.31784794520547943</v>
      </c>
      <c r="R536" t="s">
        <v>168</v>
      </c>
    </row>
    <row r="537" spans="1:18" x14ac:dyDescent="0.25">
      <c r="A537" t="s">
        <v>116</v>
      </c>
      <c r="B537" t="s">
        <v>11</v>
      </c>
      <c r="C537" t="s">
        <v>18</v>
      </c>
      <c r="D537" t="s">
        <v>19</v>
      </c>
      <c r="E537" s="4" t="s">
        <v>32</v>
      </c>
      <c r="F537" t="s">
        <v>29</v>
      </c>
      <c r="G537">
        <v>-0.68400000000000005</v>
      </c>
      <c r="H537">
        <v>285</v>
      </c>
      <c r="K537" s="3">
        <v>36643</v>
      </c>
      <c r="L537" s="3">
        <v>44860</v>
      </c>
      <c r="M537" s="2">
        <f t="shared" si="44"/>
        <v>22.512328767123286</v>
      </c>
      <c r="N537">
        <f t="shared" si="45"/>
        <v>-15.398432876712329</v>
      </c>
      <c r="O537">
        <v>60</v>
      </c>
      <c r="P537">
        <f t="shared" si="47"/>
        <v>44.601567123287673</v>
      </c>
      <c r="Q537" s="1">
        <f t="shared" si="48"/>
        <v>-0.25664054794520547</v>
      </c>
    </row>
    <row r="538" spans="1:18" x14ac:dyDescent="0.25">
      <c r="A538" t="s">
        <v>116</v>
      </c>
      <c r="B538" t="s">
        <v>11</v>
      </c>
      <c r="C538" t="s">
        <v>20</v>
      </c>
      <c r="D538" t="s">
        <v>21</v>
      </c>
      <c r="E538" t="s">
        <v>22</v>
      </c>
      <c r="F538" t="s">
        <v>23</v>
      </c>
      <c r="G538" s="2">
        <v>3.03</v>
      </c>
      <c r="H538">
        <v>303</v>
      </c>
      <c r="I538" t="s">
        <v>17</v>
      </c>
      <c r="J538" t="s">
        <v>17</v>
      </c>
      <c r="K538" s="3">
        <v>36643</v>
      </c>
      <c r="L538" s="3">
        <v>44874</v>
      </c>
      <c r="M538" s="2">
        <f t="shared" si="44"/>
        <v>22.550684931506851</v>
      </c>
      <c r="N538">
        <f t="shared" si="45"/>
        <v>68.328575342465754</v>
      </c>
      <c r="O538">
        <v>360</v>
      </c>
      <c r="P538">
        <f t="shared" si="47"/>
        <v>428.32857534246574</v>
      </c>
      <c r="Q538" s="1">
        <f t="shared" si="48"/>
        <v>0.18980159817351594</v>
      </c>
    </row>
    <row r="539" spans="1:18" x14ac:dyDescent="0.25">
      <c r="A539" t="s">
        <v>116</v>
      </c>
      <c r="B539" t="s">
        <v>11</v>
      </c>
      <c r="C539" t="s">
        <v>25</v>
      </c>
      <c r="D539" t="s">
        <v>24</v>
      </c>
      <c r="E539" s="4" t="s">
        <v>22</v>
      </c>
      <c r="F539" t="s">
        <v>23</v>
      </c>
      <c r="G539">
        <v>1.3519999999999999E-3</v>
      </c>
      <c r="H539">
        <v>230</v>
      </c>
      <c r="K539" s="3">
        <v>35970</v>
      </c>
      <c r="L539" s="3">
        <v>44860</v>
      </c>
      <c r="M539" s="2">
        <f t="shared" si="44"/>
        <v>24.356164383561644</v>
      </c>
      <c r="N539">
        <f t="shared" si="45"/>
        <v>3.292953424657534E-2</v>
      </c>
      <c r="O539">
        <v>0.04</v>
      </c>
      <c r="P539">
        <f t="shared" si="47"/>
        <v>7.2929534246575334E-2</v>
      </c>
      <c r="Q539" s="1">
        <f t="shared" si="48"/>
        <v>0.82323835616438334</v>
      </c>
      <c r="R539" t="s">
        <v>168</v>
      </c>
    </row>
    <row r="540" spans="1:18" x14ac:dyDescent="0.25">
      <c r="A540" t="s">
        <v>116</v>
      </c>
      <c r="B540" t="s">
        <v>11</v>
      </c>
      <c r="C540" t="s">
        <v>26</v>
      </c>
      <c r="D540" t="s">
        <v>27</v>
      </c>
      <c r="E540" s="4" t="s">
        <v>22</v>
      </c>
      <c r="F540" t="s">
        <v>23</v>
      </c>
      <c r="G540">
        <v>0.24030000000000001</v>
      </c>
      <c r="H540">
        <v>283</v>
      </c>
      <c r="K540" s="3">
        <v>36643</v>
      </c>
      <c r="L540" s="3">
        <v>44860</v>
      </c>
      <c r="M540" s="2">
        <f t="shared" si="44"/>
        <v>22.512328767123286</v>
      </c>
      <c r="N540">
        <f t="shared" si="45"/>
        <v>5.4097126027397255</v>
      </c>
      <c r="O540">
        <v>18</v>
      </c>
      <c r="P540">
        <f t="shared" si="47"/>
        <v>23.409712602739724</v>
      </c>
      <c r="Q540" s="1">
        <f t="shared" si="48"/>
        <v>0.30053958904109579</v>
      </c>
    </row>
    <row r="541" spans="1:18" x14ac:dyDescent="0.25">
      <c r="A541" t="s">
        <v>312</v>
      </c>
      <c r="B541" t="s">
        <v>11</v>
      </c>
      <c r="C541" t="s">
        <v>12</v>
      </c>
      <c r="D541" t="s">
        <v>13</v>
      </c>
      <c r="E541" s="4" t="s">
        <v>22</v>
      </c>
      <c r="F541" t="s">
        <v>23</v>
      </c>
      <c r="G541">
        <v>0.42849999999999999</v>
      </c>
      <c r="H541">
        <v>29</v>
      </c>
      <c r="I541" t="s">
        <v>16</v>
      </c>
      <c r="J541" t="s">
        <v>17</v>
      </c>
      <c r="K541" s="3">
        <v>37621</v>
      </c>
      <c r="L541" s="3">
        <v>44107</v>
      </c>
      <c r="M541" s="2">
        <f t="shared" si="44"/>
        <v>17.769863013698629</v>
      </c>
      <c r="N541">
        <f t="shared" si="45"/>
        <v>7.6143863013698621</v>
      </c>
      <c r="O541">
        <v>7</v>
      </c>
      <c r="P541">
        <f t="shared" si="47"/>
        <v>14.614386301369862</v>
      </c>
      <c r="Q541" s="1">
        <f t="shared" si="48"/>
        <v>1.0877694716242661</v>
      </c>
      <c r="R541" t="s">
        <v>151</v>
      </c>
    </row>
    <row r="542" spans="1:18" x14ac:dyDescent="0.25">
      <c r="A542" t="s">
        <v>312</v>
      </c>
      <c r="B542" t="s">
        <v>11</v>
      </c>
      <c r="C542" t="s">
        <v>296</v>
      </c>
      <c r="D542" t="s">
        <v>24</v>
      </c>
      <c r="E542" s="4" t="s">
        <v>22</v>
      </c>
      <c r="F542" t="s">
        <v>23</v>
      </c>
      <c r="G542">
        <v>1.8290000000000001E-2</v>
      </c>
      <c r="H542">
        <v>34</v>
      </c>
      <c r="I542" t="s">
        <v>16</v>
      </c>
      <c r="J542" t="s">
        <v>17</v>
      </c>
      <c r="K542" s="3">
        <v>36446</v>
      </c>
      <c r="L542" s="3">
        <v>44075</v>
      </c>
      <c r="M542" s="2">
        <f t="shared" si="44"/>
        <v>20.901369863013699</v>
      </c>
      <c r="N542">
        <f t="shared" si="45"/>
        <v>0.38228605479452055</v>
      </c>
      <c r="O542">
        <v>0.5</v>
      </c>
      <c r="P542">
        <f t="shared" si="47"/>
        <v>0.8822860547945206</v>
      </c>
      <c r="Q542" s="1">
        <f t="shared" si="48"/>
        <v>0.7645721095890412</v>
      </c>
      <c r="R542" t="s">
        <v>142</v>
      </c>
    </row>
    <row r="543" spans="1:18" x14ac:dyDescent="0.25">
      <c r="A543" t="s">
        <v>312</v>
      </c>
      <c r="B543" t="s">
        <v>11</v>
      </c>
      <c r="C543" t="s">
        <v>18</v>
      </c>
      <c r="D543" t="s">
        <v>19</v>
      </c>
      <c r="E543" t="s">
        <v>14</v>
      </c>
      <c r="F543" t="s">
        <v>15</v>
      </c>
      <c r="G543" t="s">
        <v>15</v>
      </c>
      <c r="H543">
        <v>23</v>
      </c>
      <c r="I543" t="s">
        <v>16</v>
      </c>
      <c r="J543" t="s">
        <v>17</v>
      </c>
      <c r="K543" s="3">
        <v>38238</v>
      </c>
      <c r="L543" s="3">
        <v>44075</v>
      </c>
      <c r="M543" s="2">
        <f t="shared" si="44"/>
        <v>15.991780821917809</v>
      </c>
      <c r="N543" t="e">
        <f t="shared" si="45"/>
        <v>#VALUE!</v>
      </c>
      <c r="O543" t="s">
        <v>15</v>
      </c>
      <c r="P543" t="e">
        <f t="shared" si="47"/>
        <v>#VALUE!</v>
      </c>
      <c r="Q543" s="1" t="e">
        <f>((P543-O543)/P543)</f>
        <v>#VALUE!</v>
      </c>
    </row>
    <row r="544" spans="1:18" x14ac:dyDescent="0.25">
      <c r="A544" t="s">
        <v>312</v>
      </c>
      <c r="B544" t="s">
        <v>11</v>
      </c>
      <c r="C544" t="s">
        <v>20</v>
      </c>
      <c r="D544" t="s">
        <v>21</v>
      </c>
      <c r="E544" t="s">
        <v>22</v>
      </c>
      <c r="F544" t="s">
        <v>23</v>
      </c>
      <c r="G544" s="2">
        <v>18.62</v>
      </c>
      <c r="H544">
        <v>38</v>
      </c>
      <c r="I544" t="s">
        <v>16</v>
      </c>
      <c r="J544" t="s">
        <v>17</v>
      </c>
      <c r="K544" s="3">
        <v>36445</v>
      </c>
      <c r="L544" s="3">
        <v>45215</v>
      </c>
      <c r="M544" s="2">
        <f t="shared" si="44"/>
        <v>24.027397260273972</v>
      </c>
      <c r="N544">
        <f t="shared" si="45"/>
        <v>447.3901369863014</v>
      </c>
      <c r="O544">
        <v>720</v>
      </c>
      <c r="P544">
        <f t="shared" si="47"/>
        <v>1167.3901369863015</v>
      </c>
      <c r="Q544" s="1">
        <f>((P544-O544)/O544)</f>
        <v>0.6213751902587521</v>
      </c>
    </row>
    <row r="545" spans="1:18" x14ac:dyDescent="0.25">
      <c r="A545" t="s">
        <v>312</v>
      </c>
      <c r="B545" t="s">
        <v>11</v>
      </c>
      <c r="C545" t="s">
        <v>25</v>
      </c>
      <c r="D545" t="s">
        <v>24</v>
      </c>
      <c r="E545" t="s">
        <v>14</v>
      </c>
      <c r="F545" t="s">
        <v>15</v>
      </c>
      <c r="G545" t="s">
        <v>15</v>
      </c>
      <c r="H545">
        <v>34</v>
      </c>
      <c r="I545" t="s">
        <v>16</v>
      </c>
      <c r="J545" t="s">
        <v>17</v>
      </c>
      <c r="K545" s="3">
        <v>36446</v>
      </c>
      <c r="L545" s="3">
        <v>44075</v>
      </c>
      <c r="M545" s="2">
        <f t="shared" si="44"/>
        <v>20.901369863013699</v>
      </c>
      <c r="N545" t="e">
        <f t="shared" si="45"/>
        <v>#VALUE!</v>
      </c>
      <c r="O545" t="s">
        <v>15</v>
      </c>
      <c r="P545" t="e">
        <f t="shared" si="47"/>
        <v>#VALUE!</v>
      </c>
      <c r="Q545" s="1" t="e">
        <f>((P545-O545)/P545)</f>
        <v>#VALUE!</v>
      </c>
      <c r="R545" t="s">
        <v>155</v>
      </c>
    </row>
    <row r="546" spans="1:18" x14ac:dyDescent="0.25">
      <c r="A546" t="s">
        <v>312</v>
      </c>
      <c r="B546" t="s">
        <v>11</v>
      </c>
      <c r="C546" t="s">
        <v>26</v>
      </c>
      <c r="D546" t="s">
        <v>27</v>
      </c>
      <c r="E546" s="4" t="s">
        <v>32</v>
      </c>
      <c r="F546" t="s">
        <v>29</v>
      </c>
      <c r="G546">
        <v>-1.2210000000000001</v>
      </c>
      <c r="H546">
        <v>27</v>
      </c>
      <c r="I546" t="s">
        <v>16</v>
      </c>
      <c r="J546" t="s">
        <v>17</v>
      </c>
      <c r="K546" s="3">
        <v>38238</v>
      </c>
      <c r="L546" s="3">
        <v>44104</v>
      </c>
      <c r="M546" s="2">
        <f t="shared" si="44"/>
        <v>16.07123287671233</v>
      </c>
      <c r="N546">
        <f t="shared" si="45"/>
        <v>-19.622975342465757</v>
      </c>
      <c r="O546">
        <v>36</v>
      </c>
      <c r="P546">
        <f t="shared" si="47"/>
        <v>16.377024657534243</v>
      </c>
      <c r="Q546" s="1">
        <f>((P546-O546)/O546)</f>
        <v>-0.54508264840182663</v>
      </c>
    </row>
    <row r="547" spans="1:18" x14ac:dyDescent="0.25">
      <c r="A547" t="s">
        <v>118</v>
      </c>
      <c r="B547" t="s">
        <v>11</v>
      </c>
      <c r="C547" t="s">
        <v>12</v>
      </c>
      <c r="D547" t="s">
        <v>13</v>
      </c>
      <c r="E547" t="s">
        <v>186</v>
      </c>
      <c r="F547" t="s">
        <v>15</v>
      </c>
      <c r="G547" t="s">
        <v>15</v>
      </c>
      <c r="H547">
        <v>15</v>
      </c>
      <c r="M547" s="2">
        <f t="shared" si="44"/>
        <v>0</v>
      </c>
      <c r="N547" t="e">
        <f t="shared" si="45"/>
        <v>#VALUE!</v>
      </c>
      <c r="O547" t="s">
        <v>15</v>
      </c>
      <c r="P547" t="e">
        <f t="shared" si="47"/>
        <v>#VALUE!</v>
      </c>
      <c r="Q547" s="1" t="e">
        <f t="shared" ref="Q547:Q553" si="49">((P547-O547)/P547)</f>
        <v>#VALUE!</v>
      </c>
      <c r="R547" t="s">
        <v>203</v>
      </c>
    </row>
    <row r="548" spans="1:18" x14ac:dyDescent="0.25">
      <c r="A548" t="s">
        <v>118</v>
      </c>
      <c r="B548" t="s">
        <v>11</v>
      </c>
      <c r="C548" t="s">
        <v>296</v>
      </c>
      <c r="D548" t="s">
        <v>13</v>
      </c>
      <c r="E548" t="s">
        <v>14</v>
      </c>
      <c r="F548" t="s">
        <v>15</v>
      </c>
      <c r="G548" t="s">
        <v>15</v>
      </c>
      <c r="H548">
        <v>20</v>
      </c>
      <c r="K548" s="3">
        <v>35961</v>
      </c>
      <c r="L548" s="3">
        <v>42989</v>
      </c>
      <c r="M548" s="2">
        <f t="shared" si="44"/>
        <v>19.254794520547946</v>
      </c>
      <c r="N548" t="e">
        <f t="shared" si="45"/>
        <v>#VALUE!</v>
      </c>
      <c r="O548" t="s">
        <v>15</v>
      </c>
      <c r="P548" t="e">
        <f t="shared" si="47"/>
        <v>#VALUE!</v>
      </c>
      <c r="Q548" s="1" t="e">
        <f t="shared" si="49"/>
        <v>#VALUE!</v>
      </c>
    </row>
    <row r="549" spans="1:18" x14ac:dyDescent="0.25">
      <c r="A549" t="s">
        <v>118</v>
      </c>
      <c r="B549" t="s">
        <v>11</v>
      </c>
      <c r="C549" t="s">
        <v>18</v>
      </c>
      <c r="D549" t="s">
        <v>13</v>
      </c>
      <c r="E549" t="s">
        <v>186</v>
      </c>
      <c r="F549" t="s">
        <v>15</v>
      </c>
      <c r="G549" t="s">
        <v>15</v>
      </c>
      <c r="H549">
        <v>15</v>
      </c>
      <c r="M549" s="2">
        <f t="shared" si="44"/>
        <v>0</v>
      </c>
      <c r="N549" t="e">
        <f t="shared" si="45"/>
        <v>#VALUE!</v>
      </c>
      <c r="O549" t="s">
        <v>15</v>
      </c>
      <c r="P549" t="e">
        <f t="shared" si="47"/>
        <v>#VALUE!</v>
      </c>
      <c r="Q549" s="1" t="e">
        <f t="shared" si="49"/>
        <v>#VALUE!</v>
      </c>
      <c r="R549" t="s">
        <v>203</v>
      </c>
    </row>
    <row r="550" spans="1:18" x14ac:dyDescent="0.25">
      <c r="A550" t="s">
        <v>118</v>
      </c>
      <c r="B550" t="s">
        <v>11</v>
      </c>
      <c r="C550" t="s">
        <v>20</v>
      </c>
      <c r="D550" t="s">
        <v>21</v>
      </c>
      <c r="E550" t="s">
        <v>14</v>
      </c>
      <c r="F550" t="s">
        <v>15</v>
      </c>
      <c r="G550" s="2" t="s">
        <v>15</v>
      </c>
      <c r="H550">
        <v>20</v>
      </c>
      <c r="I550" t="s">
        <v>16</v>
      </c>
      <c r="J550" t="s">
        <v>17</v>
      </c>
      <c r="K550" s="3">
        <v>36858</v>
      </c>
      <c r="L550" s="3">
        <v>42989</v>
      </c>
      <c r="M550" s="2">
        <f t="shared" si="44"/>
        <v>16.797260273972604</v>
      </c>
      <c r="N550" t="e">
        <f t="shared" si="45"/>
        <v>#VALUE!</v>
      </c>
      <c r="O550" t="s">
        <v>15</v>
      </c>
      <c r="P550" t="e">
        <f t="shared" si="47"/>
        <v>#VALUE!</v>
      </c>
      <c r="Q550" s="1" t="e">
        <f t="shared" si="49"/>
        <v>#VALUE!</v>
      </c>
      <c r="R550" t="s">
        <v>195</v>
      </c>
    </row>
    <row r="551" spans="1:18" x14ac:dyDescent="0.25">
      <c r="A551" t="s">
        <v>118</v>
      </c>
      <c r="B551" t="s">
        <v>11</v>
      </c>
      <c r="C551" t="s">
        <v>20</v>
      </c>
      <c r="D551" t="s">
        <v>13</v>
      </c>
      <c r="E551" t="s">
        <v>14</v>
      </c>
      <c r="F551" t="s">
        <v>15</v>
      </c>
      <c r="G551" t="s">
        <v>15</v>
      </c>
      <c r="H551">
        <v>20</v>
      </c>
      <c r="K551" s="3">
        <v>36858</v>
      </c>
      <c r="L551" s="3">
        <v>42989</v>
      </c>
      <c r="M551" s="2">
        <f t="shared" si="44"/>
        <v>16.797260273972604</v>
      </c>
      <c r="N551" t="e">
        <f t="shared" si="45"/>
        <v>#VALUE!</v>
      </c>
      <c r="O551" t="s">
        <v>15</v>
      </c>
      <c r="P551" t="e">
        <f t="shared" si="47"/>
        <v>#VALUE!</v>
      </c>
      <c r="Q551" s="1" t="e">
        <f t="shared" si="49"/>
        <v>#VALUE!</v>
      </c>
    </row>
    <row r="552" spans="1:18" x14ac:dyDescent="0.25">
      <c r="A552" t="s">
        <v>118</v>
      </c>
      <c r="B552" t="s">
        <v>11</v>
      </c>
      <c r="C552" t="s">
        <v>25</v>
      </c>
      <c r="D552" t="s">
        <v>13</v>
      </c>
      <c r="E552" t="s">
        <v>14</v>
      </c>
      <c r="F552" t="s">
        <v>15</v>
      </c>
      <c r="G552" t="s">
        <v>15</v>
      </c>
      <c r="H552">
        <v>20</v>
      </c>
      <c r="K552" s="3">
        <v>35961</v>
      </c>
      <c r="L552" s="3">
        <v>42989</v>
      </c>
      <c r="M552" s="2">
        <f t="shared" si="44"/>
        <v>19.254794520547946</v>
      </c>
      <c r="N552" t="e">
        <f t="shared" si="45"/>
        <v>#VALUE!</v>
      </c>
      <c r="O552" t="s">
        <v>15</v>
      </c>
      <c r="P552" t="e">
        <f t="shared" si="47"/>
        <v>#VALUE!</v>
      </c>
      <c r="Q552" s="1" t="e">
        <f t="shared" si="49"/>
        <v>#VALUE!</v>
      </c>
    </row>
    <row r="553" spans="1:18" x14ac:dyDescent="0.25">
      <c r="A553" s="5" t="s">
        <v>215</v>
      </c>
      <c r="B553" t="s">
        <v>11</v>
      </c>
      <c r="C553" t="s">
        <v>12</v>
      </c>
      <c r="D553" t="s">
        <v>13</v>
      </c>
      <c r="E553" s="5" t="s">
        <v>14</v>
      </c>
      <c r="F553" t="s">
        <v>15</v>
      </c>
      <c r="G553" t="s">
        <v>15</v>
      </c>
      <c r="H553" s="6">
        <v>27</v>
      </c>
      <c r="I553" s="5" t="s">
        <v>33</v>
      </c>
      <c r="J553" s="5" t="s">
        <v>16</v>
      </c>
      <c r="K553" s="3">
        <v>37573</v>
      </c>
      <c r="L553" s="3">
        <v>44060</v>
      </c>
      <c r="M553" s="2">
        <f t="shared" si="44"/>
        <v>17.772602739726029</v>
      </c>
      <c r="N553" t="e">
        <f t="shared" si="45"/>
        <v>#VALUE!</v>
      </c>
      <c r="O553" t="s">
        <v>15</v>
      </c>
      <c r="P553" t="e">
        <f t="shared" si="47"/>
        <v>#VALUE!</v>
      </c>
      <c r="Q553" s="1" t="e">
        <f t="shared" si="49"/>
        <v>#VALUE!</v>
      </c>
    </row>
    <row r="554" spans="1:18" x14ac:dyDescent="0.25">
      <c r="A554" s="5" t="s">
        <v>215</v>
      </c>
      <c r="B554" t="s">
        <v>11</v>
      </c>
      <c r="C554" t="s">
        <v>296</v>
      </c>
      <c r="D554" t="s">
        <v>24</v>
      </c>
      <c r="E554" s="5" t="s">
        <v>40</v>
      </c>
      <c r="F554" t="s">
        <v>23</v>
      </c>
      <c r="G554">
        <v>4.065E-3</v>
      </c>
      <c r="H554" s="6">
        <v>31</v>
      </c>
      <c r="I554" s="5" t="s">
        <v>17</v>
      </c>
      <c r="J554" s="5" t="s">
        <v>17</v>
      </c>
      <c r="K554" s="3">
        <v>36465</v>
      </c>
      <c r="L554" s="3">
        <v>44060</v>
      </c>
      <c r="M554" s="2">
        <f t="shared" si="44"/>
        <v>20.80821917808219</v>
      </c>
      <c r="N554">
        <f t="shared" si="45"/>
        <v>8.4585410958904109E-2</v>
      </c>
      <c r="O554">
        <v>0.7</v>
      </c>
      <c r="P554">
        <f t="shared" ref="P554:P583" si="50">O554+N554</f>
        <v>0.78458541095890411</v>
      </c>
      <c r="Q554" s="1">
        <f>((P554-O554)/O554)</f>
        <v>0.12083630136986308</v>
      </c>
      <c r="R554" t="s">
        <v>147</v>
      </c>
    </row>
    <row r="555" spans="1:18" x14ac:dyDescent="0.25">
      <c r="A555" s="5" t="s">
        <v>215</v>
      </c>
      <c r="B555" t="s">
        <v>11</v>
      </c>
      <c r="C555" t="s">
        <v>18</v>
      </c>
      <c r="D555" t="s">
        <v>19</v>
      </c>
      <c r="E555" s="5" t="s">
        <v>14</v>
      </c>
      <c r="F555" t="s">
        <v>15</v>
      </c>
      <c r="G555" t="s">
        <v>15</v>
      </c>
      <c r="H555" s="6">
        <v>31</v>
      </c>
      <c r="I555" s="5" t="s">
        <v>17</v>
      </c>
      <c r="J555" s="5" t="s">
        <v>17</v>
      </c>
      <c r="K555" s="3">
        <v>36465</v>
      </c>
      <c r="L555" s="3">
        <v>44060</v>
      </c>
      <c r="M555" s="2">
        <f t="shared" si="44"/>
        <v>20.80821917808219</v>
      </c>
      <c r="N555" t="e">
        <f t="shared" si="45"/>
        <v>#VALUE!</v>
      </c>
      <c r="O555" t="s">
        <v>15</v>
      </c>
      <c r="P555" t="e">
        <f t="shared" si="50"/>
        <v>#VALUE!</v>
      </c>
      <c r="Q555" s="1" t="e">
        <f>((P555-O555)/P555)</f>
        <v>#VALUE!</v>
      </c>
    </row>
    <row r="556" spans="1:18" x14ac:dyDescent="0.25">
      <c r="A556" s="5" t="s">
        <v>215</v>
      </c>
      <c r="B556" t="s">
        <v>11</v>
      </c>
      <c r="C556" t="s">
        <v>20</v>
      </c>
      <c r="D556" t="s">
        <v>21</v>
      </c>
      <c r="E556" t="s">
        <v>22</v>
      </c>
      <c r="F556" t="s">
        <v>23</v>
      </c>
      <c r="G556" s="2">
        <v>6</v>
      </c>
      <c r="H556">
        <v>35</v>
      </c>
      <c r="I556" t="s">
        <v>16</v>
      </c>
      <c r="J556" t="s">
        <v>17</v>
      </c>
      <c r="K556" s="3">
        <v>36465</v>
      </c>
      <c r="L556" s="3">
        <v>45181</v>
      </c>
      <c r="M556" s="2">
        <f t="shared" si="44"/>
        <v>23.87945205479452</v>
      </c>
      <c r="N556">
        <f t="shared" si="45"/>
        <v>143.27671232876713</v>
      </c>
      <c r="O556">
        <v>510</v>
      </c>
      <c r="P556">
        <f t="shared" si="50"/>
        <v>653.27671232876719</v>
      </c>
      <c r="Q556" s="1">
        <f>((P556-O556)/O556)</f>
        <v>0.28093473005640623</v>
      </c>
    </row>
    <row r="557" spans="1:18" x14ac:dyDescent="0.25">
      <c r="A557" s="5" t="s">
        <v>215</v>
      </c>
      <c r="B557" t="s">
        <v>11</v>
      </c>
      <c r="C557" t="s">
        <v>25</v>
      </c>
      <c r="D557" t="s">
        <v>24</v>
      </c>
      <c r="E557" s="4" t="s">
        <v>22</v>
      </c>
      <c r="F557" t="s">
        <v>23</v>
      </c>
      <c r="G557">
        <v>2.5370000000000002E-3</v>
      </c>
      <c r="H557" s="6">
        <v>31</v>
      </c>
      <c r="I557" s="5" t="s">
        <v>17</v>
      </c>
      <c r="J557" s="5" t="s">
        <v>17</v>
      </c>
      <c r="K557" s="3">
        <v>36465</v>
      </c>
      <c r="L557" s="3">
        <v>44060</v>
      </c>
      <c r="M557" s="2">
        <f t="shared" si="44"/>
        <v>20.80821917808219</v>
      </c>
      <c r="N557">
        <f t="shared" si="45"/>
        <v>5.2790452054794518E-2</v>
      </c>
      <c r="O557">
        <v>7.0000000000000007E-2</v>
      </c>
      <c r="P557">
        <f t="shared" si="50"/>
        <v>0.12279045205479452</v>
      </c>
      <c r="Q557" s="1">
        <f>((P557-O557)/O557)</f>
        <v>0.75414931506849303</v>
      </c>
      <c r="R557" t="s">
        <v>179</v>
      </c>
    </row>
    <row r="558" spans="1:18" x14ac:dyDescent="0.25">
      <c r="A558" s="5" t="s">
        <v>215</v>
      </c>
      <c r="B558" t="s">
        <v>11</v>
      </c>
      <c r="C558" t="s">
        <v>26</v>
      </c>
      <c r="D558" t="s">
        <v>27</v>
      </c>
      <c r="E558" s="5" t="s">
        <v>14</v>
      </c>
      <c r="F558" t="s">
        <v>15</v>
      </c>
      <c r="G558" t="s">
        <v>15</v>
      </c>
      <c r="H558" s="6">
        <v>31</v>
      </c>
      <c r="I558" s="5" t="s">
        <v>17</v>
      </c>
      <c r="J558" s="5" t="s">
        <v>16</v>
      </c>
      <c r="K558" s="3">
        <v>36465</v>
      </c>
      <c r="L558" s="3">
        <v>44060</v>
      </c>
      <c r="M558" s="2">
        <f t="shared" si="44"/>
        <v>20.80821917808219</v>
      </c>
      <c r="N558" t="e">
        <f t="shared" si="45"/>
        <v>#VALUE!</v>
      </c>
      <c r="O558" t="s">
        <v>15</v>
      </c>
      <c r="P558" t="e">
        <f t="shared" si="50"/>
        <v>#VALUE!</v>
      </c>
      <c r="Q558" s="1" t="e">
        <f>((P558-O558)/P558)</f>
        <v>#VALUE!</v>
      </c>
    </row>
    <row r="559" spans="1:18" x14ac:dyDescent="0.25">
      <c r="A559" s="5" t="s">
        <v>313</v>
      </c>
      <c r="B559" t="s">
        <v>11</v>
      </c>
      <c r="C559" t="s">
        <v>12</v>
      </c>
      <c r="D559" t="s">
        <v>13</v>
      </c>
      <c r="E559" s="5" t="s">
        <v>14</v>
      </c>
      <c r="F559" t="s">
        <v>15</v>
      </c>
      <c r="G559" t="s">
        <v>15</v>
      </c>
      <c r="H559" s="6">
        <v>27</v>
      </c>
      <c r="I559" s="5" t="s">
        <v>16</v>
      </c>
      <c r="J559" s="5" t="s">
        <v>33</v>
      </c>
      <c r="K559" s="3">
        <v>36472</v>
      </c>
      <c r="L559" s="3">
        <v>42955</v>
      </c>
      <c r="M559" s="2">
        <f t="shared" si="44"/>
        <v>17.761643835616439</v>
      </c>
      <c r="N559" t="e">
        <f t="shared" si="45"/>
        <v>#VALUE!</v>
      </c>
      <c r="O559" t="s">
        <v>15</v>
      </c>
      <c r="P559" t="e">
        <f t="shared" si="50"/>
        <v>#VALUE!</v>
      </c>
      <c r="Q559" s="1" t="e">
        <f>((P559-O559)/P559)</f>
        <v>#VALUE!</v>
      </c>
      <c r="R559" t="s">
        <v>131</v>
      </c>
    </row>
    <row r="560" spans="1:18" x14ac:dyDescent="0.25">
      <c r="A560" s="5" t="s">
        <v>313</v>
      </c>
      <c r="B560" t="s">
        <v>11</v>
      </c>
      <c r="C560" t="s">
        <v>296</v>
      </c>
      <c r="D560" t="s">
        <v>24</v>
      </c>
      <c r="E560" s="5" t="s">
        <v>14</v>
      </c>
      <c r="F560" t="s">
        <v>15</v>
      </c>
      <c r="G560" t="s">
        <v>15</v>
      </c>
      <c r="H560" s="6">
        <v>27</v>
      </c>
      <c r="I560" s="5" t="s">
        <v>17</v>
      </c>
      <c r="J560" s="5" t="s">
        <v>33</v>
      </c>
      <c r="K560" s="3">
        <v>36472</v>
      </c>
      <c r="L560" s="3">
        <v>42955</v>
      </c>
      <c r="M560" s="2">
        <f t="shared" si="44"/>
        <v>17.761643835616439</v>
      </c>
      <c r="N560" t="e">
        <f t="shared" si="45"/>
        <v>#VALUE!</v>
      </c>
      <c r="O560" t="s">
        <v>15</v>
      </c>
      <c r="P560" t="e">
        <f t="shared" si="50"/>
        <v>#VALUE!</v>
      </c>
      <c r="Q560" s="1" t="e">
        <f>((P560-O560)/P560)</f>
        <v>#VALUE!</v>
      </c>
    </row>
    <row r="561" spans="1:18" x14ac:dyDescent="0.25">
      <c r="A561" s="5" t="s">
        <v>313</v>
      </c>
      <c r="B561" t="s">
        <v>11</v>
      </c>
      <c r="C561" t="s">
        <v>18</v>
      </c>
      <c r="D561" t="s">
        <v>19</v>
      </c>
      <c r="E561" s="4" t="s">
        <v>38</v>
      </c>
      <c r="F561" t="s">
        <v>23</v>
      </c>
      <c r="G561">
        <v>1.8859999999999999</v>
      </c>
      <c r="H561" s="6">
        <v>27</v>
      </c>
      <c r="I561" s="5" t="s">
        <v>16</v>
      </c>
      <c r="J561" s="5" t="s">
        <v>17</v>
      </c>
      <c r="K561" s="3">
        <v>36472</v>
      </c>
      <c r="L561" s="3">
        <v>42955</v>
      </c>
      <c r="M561" s="2">
        <f t="shared" si="44"/>
        <v>17.761643835616439</v>
      </c>
      <c r="N561">
        <f t="shared" si="45"/>
        <v>33.498460273972604</v>
      </c>
      <c r="O561">
        <v>65</v>
      </c>
      <c r="P561">
        <f t="shared" si="50"/>
        <v>98.498460273972597</v>
      </c>
      <c r="Q561" s="1">
        <f>((P561-O561)/O561)</f>
        <v>0.5153609272918861</v>
      </c>
      <c r="R561" t="s">
        <v>191</v>
      </c>
    </row>
    <row r="562" spans="1:18" x14ac:dyDescent="0.25">
      <c r="A562" s="5" t="s">
        <v>313</v>
      </c>
      <c r="B562" t="s">
        <v>11</v>
      </c>
      <c r="C562" t="s">
        <v>20</v>
      </c>
      <c r="D562" t="s">
        <v>21</v>
      </c>
      <c r="E562" t="s">
        <v>22</v>
      </c>
      <c r="F562" t="s">
        <v>23</v>
      </c>
      <c r="G562" s="2">
        <v>1.67</v>
      </c>
      <c r="H562">
        <v>27</v>
      </c>
      <c r="I562" t="s">
        <v>31</v>
      </c>
      <c r="J562" t="s">
        <v>16</v>
      </c>
      <c r="K562" s="3">
        <v>36472</v>
      </c>
      <c r="L562" s="3">
        <v>42987</v>
      </c>
      <c r="M562" s="2">
        <f t="shared" si="44"/>
        <v>17.849315068493151</v>
      </c>
      <c r="N562">
        <f t="shared" si="45"/>
        <v>29.808356164383561</v>
      </c>
      <c r="O562">
        <v>42</v>
      </c>
      <c r="P562">
        <f t="shared" si="50"/>
        <v>71.808356164383554</v>
      </c>
      <c r="Q562" s="1">
        <f>((P562-O562)/O562)</f>
        <v>0.70972276581865601</v>
      </c>
    </row>
    <row r="563" spans="1:18" x14ac:dyDescent="0.25">
      <c r="A563" s="5" t="s">
        <v>313</v>
      </c>
      <c r="B563" t="s">
        <v>11</v>
      </c>
      <c r="C563" t="s">
        <v>25</v>
      </c>
      <c r="D563" t="s">
        <v>24</v>
      </c>
      <c r="E563" s="4" t="s">
        <v>32</v>
      </c>
      <c r="F563" t="s">
        <v>29</v>
      </c>
      <c r="G563">
        <v>-1.1479999999999999E-3</v>
      </c>
      <c r="H563" s="6">
        <v>26</v>
      </c>
      <c r="I563" s="5" t="s">
        <v>16</v>
      </c>
      <c r="J563" s="5" t="s">
        <v>17</v>
      </c>
      <c r="K563" s="3">
        <v>36472</v>
      </c>
      <c r="L563" s="3">
        <v>42955</v>
      </c>
      <c r="M563" s="2">
        <f t="shared" si="44"/>
        <v>17.761643835616439</v>
      </c>
      <c r="N563">
        <f t="shared" si="45"/>
        <v>-2.0390367123287671E-2</v>
      </c>
      <c r="O563">
        <v>4.1000000000000002E-2</v>
      </c>
      <c r="P563">
        <f t="shared" si="50"/>
        <v>2.060963287671233E-2</v>
      </c>
      <c r="Q563" s="1">
        <f>((P563-O563)/O563)</f>
        <v>-0.49732602739726023</v>
      </c>
    </row>
    <row r="564" spans="1:18" x14ac:dyDescent="0.25">
      <c r="A564" s="5" t="s">
        <v>313</v>
      </c>
      <c r="B564" t="s">
        <v>11</v>
      </c>
      <c r="C564" t="s">
        <v>26</v>
      </c>
      <c r="D564" t="s">
        <v>27</v>
      </c>
      <c r="E564" s="5" t="s">
        <v>34</v>
      </c>
      <c r="F564" t="s">
        <v>29</v>
      </c>
      <c r="G564">
        <v>-0.33169999999999999</v>
      </c>
      <c r="H564" s="4">
        <v>27</v>
      </c>
      <c r="I564" s="5" t="s">
        <v>31</v>
      </c>
      <c r="J564" s="5" t="s">
        <v>17</v>
      </c>
      <c r="K564" s="3">
        <v>36472</v>
      </c>
      <c r="L564" s="3">
        <v>42955</v>
      </c>
      <c r="M564" s="2">
        <f t="shared" si="44"/>
        <v>17.761643835616439</v>
      </c>
      <c r="N564">
        <f t="shared" si="45"/>
        <v>-5.8915372602739726</v>
      </c>
      <c r="O564">
        <v>13</v>
      </c>
      <c r="P564">
        <f t="shared" si="50"/>
        <v>7.1084627397260274</v>
      </c>
      <c r="Q564" s="1">
        <f>((P564-O564)/O564)</f>
        <v>-0.45319517386722868</v>
      </c>
    </row>
    <row r="565" spans="1:18" x14ac:dyDescent="0.25">
      <c r="A565" t="s">
        <v>314</v>
      </c>
      <c r="B565" t="s">
        <v>11</v>
      </c>
      <c r="C565" t="s">
        <v>12</v>
      </c>
      <c r="D565" t="s">
        <v>13</v>
      </c>
      <c r="E565" t="s">
        <v>14</v>
      </c>
      <c r="F565" t="s">
        <v>15</v>
      </c>
      <c r="G565" t="s">
        <v>15</v>
      </c>
      <c r="H565">
        <v>23</v>
      </c>
      <c r="I565" t="s">
        <v>16</v>
      </c>
      <c r="J565" t="s">
        <v>17</v>
      </c>
      <c r="K565" s="3">
        <v>37900</v>
      </c>
      <c r="L565" s="3">
        <v>43522</v>
      </c>
      <c r="M565" s="2">
        <f t="shared" si="44"/>
        <v>15.402739726027397</v>
      </c>
      <c r="N565" t="e">
        <f t="shared" si="45"/>
        <v>#VALUE!</v>
      </c>
      <c r="O565" t="s">
        <v>15</v>
      </c>
      <c r="P565" t="e">
        <f t="shared" si="50"/>
        <v>#VALUE!</v>
      </c>
      <c r="Q565" s="1" t="e">
        <f t="shared" ref="Q565:Q570" si="51">((P565-O565)/P565)</f>
        <v>#VALUE!</v>
      </c>
    </row>
    <row r="566" spans="1:18" x14ac:dyDescent="0.25">
      <c r="A566" t="s">
        <v>314</v>
      </c>
      <c r="B566" t="s">
        <v>11</v>
      </c>
      <c r="C566" t="s">
        <v>296</v>
      </c>
      <c r="D566" t="s">
        <v>24</v>
      </c>
      <c r="E566" t="s">
        <v>14</v>
      </c>
      <c r="F566" t="s">
        <v>15</v>
      </c>
      <c r="G566" t="s">
        <v>15</v>
      </c>
      <c r="H566">
        <v>26</v>
      </c>
      <c r="I566" t="s">
        <v>16</v>
      </c>
      <c r="J566" t="s">
        <v>17</v>
      </c>
      <c r="K566" s="3">
        <v>36829</v>
      </c>
      <c r="L566" s="3">
        <v>43522</v>
      </c>
      <c r="M566" s="2">
        <f t="shared" si="44"/>
        <v>18.336986301369862</v>
      </c>
      <c r="N566" t="e">
        <f t="shared" si="45"/>
        <v>#VALUE!</v>
      </c>
      <c r="O566" t="s">
        <v>15</v>
      </c>
      <c r="P566" t="e">
        <f t="shared" si="50"/>
        <v>#VALUE!</v>
      </c>
      <c r="Q566" s="1" t="e">
        <f t="shared" si="51"/>
        <v>#VALUE!</v>
      </c>
    </row>
    <row r="567" spans="1:18" x14ac:dyDescent="0.25">
      <c r="A567" t="s">
        <v>314</v>
      </c>
      <c r="B567" t="s">
        <v>11</v>
      </c>
      <c r="C567" t="s">
        <v>18</v>
      </c>
      <c r="D567" t="s">
        <v>19</v>
      </c>
      <c r="E567" s="5" t="s">
        <v>14</v>
      </c>
      <c r="F567" t="s">
        <v>15</v>
      </c>
      <c r="G567" t="s">
        <v>15</v>
      </c>
      <c r="H567">
        <v>18</v>
      </c>
      <c r="I567" t="s">
        <v>16</v>
      </c>
      <c r="J567" t="s">
        <v>17</v>
      </c>
      <c r="K567" s="3">
        <v>36829</v>
      </c>
      <c r="L567" s="3">
        <v>43522</v>
      </c>
      <c r="M567" s="2">
        <f t="shared" si="44"/>
        <v>18.336986301369862</v>
      </c>
      <c r="N567" t="e">
        <f t="shared" si="45"/>
        <v>#VALUE!</v>
      </c>
      <c r="O567" t="s">
        <v>15</v>
      </c>
      <c r="P567" t="e">
        <f t="shared" si="50"/>
        <v>#VALUE!</v>
      </c>
      <c r="Q567" s="1" t="e">
        <f t="shared" si="51"/>
        <v>#VALUE!</v>
      </c>
      <c r="R567" t="s">
        <v>165</v>
      </c>
    </row>
    <row r="568" spans="1:18" x14ac:dyDescent="0.25">
      <c r="A568" t="s">
        <v>314</v>
      </c>
      <c r="B568" t="s">
        <v>11</v>
      </c>
      <c r="C568" t="s">
        <v>20</v>
      </c>
      <c r="D568" t="s">
        <v>21</v>
      </c>
      <c r="E568" t="s">
        <v>14</v>
      </c>
      <c r="F568" t="s">
        <v>15</v>
      </c>
      <c r="G568" s="2" t="s">
        <v>15</v>
      </c>
      <c r="H568">
        <v>26</v>
      </c>
      <c r="I568" t="s">
        <v>16</v>
      </c>
      <c r="J568" t="s">
        <v>17</v>
      </c>
      <c r="K568" s="3">
        <v>36829</v>
      </c>
      <c r="L568" s="3">
        <v>42646</v>
      </c>
      <c r="M568" s="2">
        <f t="shared" si="44"/>
        <v>15.936986301369863</v>
      </c>
      <c r="N568" t="e">
        <f t="shared" si="45"/>
        <v>#VALUE!</v>
      </c>
      <c r="O568" t="s">
        <v>15</v>
      </c>
      <c r="P568" t="e">
        <f t="shared" si="50"/>
        <v>#VALUE!</v>
      </c>
      <c r="Q568" s="1" t="e">
        <f t="shared" si="51"/>
        <v>#VALUE!</v>
      </c>
    </row>
    <row r="569" spans="1:18" x14ac:dyDescent="0.25">
      <c r="A569" t="s">
        <v>314</v>
      </c>
      <c r="B569" t="s">
        <v>11</v>
      </c>
      <c r="C569" t="s">
        <v>25</v>
      </c>
      <c r="D569" t="s">
        <v>24</v>
      </c>
      <c r="E569" t="s">
        <v>14</v>
      </c>
      <c r="F569" t="s">
        <v>15</v>
      </c>
      <c r="G569" t="s">
        <v>15</v>
      </c>
      <c r="H569">
        <v>26</v>
      </c>
      <c r="I569" t="s">
        <v>16</v>
      </c>
      <c r="J569" t="s">
        <v>17</v>
      </c>
      <c r="K569" s="3">
        <v>36829</v>
      </c>
      <c r="L569" s="3">
        <v>43522</v>
      </c>
      <c r="M569" s="2">
        <f t="shared" si="44"/>
        <v>18.336986301369862</v>
      </c>
      <c r="N569" t="e">
        <f t="shared" si="45"/>
        <v>#VALUE!</v>
      </c>
      <c r="O569" t="s">
        <v>15</v>
      </c>
      <c r="P569" t="e">
        <f t="shared" si="50"/>
        <v>#VALUE!</v>
      </c>
      <c r="Q569" s="1" t="e">
        <f t="shared" si="51"/>
        <v>#VALUE!</v>
      </c>
      <c r="R569" t="s">
        <v>155</v>
      </c>
    </row>
    <row r="570" spans="1:18" x14ac:dyDescent="0.25">
      <c r="A570" t="s">
        <v>314</v>
      </c>
      <c r="B570" t="s">
        <v>11</v>
      </c>
      <c r="C570" t="s">
        <v>26</v>
      </c>
      <c r="D570" t="s">
        <v>27</v>
      </c>
      <c r="E570" t="s">
        <v>14</v>
      </c>
      <c r="F570" t="s">
        <v>15</v>
      </c>
      <c r="G570" t="s">
        <v>15</v>
      </c>
      <c r="H570">
        <v>20</v>
      </c>
      <c r="I570" t="s">
        <v>16</v>
      </c>
      <c r="J570" t="s">
        <v>17</v>
      </c>
      <c r="K570" s="3">
        <v>36829</v>
      </c>
      <c r="L570" s="3">
        <v>43522</v>
      </c>
      <c r="M570" s="2">
        <f t="shared" si="44"/>
        <v>18.336986301369862</v>
      </c>
      <c r="N570" t="e">
        <f t="shared" si="45"/>
        <v>#VALUE!</v>
      </c>
      <c r="O570" t="s">
        <v>15</v>
      </c>
      <c r="P570" t="e">
        <f t="shared" si="50"/>
        <v>#VALUE!</v>
      </c>
      <c r="Q570" s="1" t="e">
        <f t="shared" si="51"/>
        <v>#VALUE!</v>
      </c>
    </row>
    <row r="571" spans="1:18" x14ac:dyDescent="0.25">
      <c r="A571" t="s">
        <v>315</v>
      </c>
      <c r="B571" t="s">
        <v>11</v>
      </c>
      <c r="C571" t="s">
        <v>12</v>
      </c>
      <c r="D571" t="s">
        <v>13</v>
      </c>
      <c r="E571" s="4" t="s">
        <v>22</v>
      </c>
      <c r="F571" t="s">
        <v>23</v>
      </c>
      <c r="G571">
        <v>0.43009999999999998</v>
      </c>
      <c r="H571">
        <v>25</v>
      </c>
      <c r="I571" t="s">
        <v>16</v>
      </c>
      <c r="J571" t="s">
        <v>17</v>
      </c>
      <c r="K571" s="3">
        <v>37867</v>
      </c>
      <c r="L571" s="3">
        <v>44492</v>
      </c>
      <c r="M571" s="2">
        <f t="shared" si="44"/>
        <v>18.150684931506849</v>
      </c>
      <c r="N571">
        <f t="shared" si="45"/>
        <v>7.8066095890410949</v>
      </c>
      <c r="O571">
        <v>6</v>
      </c>
      <c r="P571">
        <f t="shared" si="50"/>
        <v>13.806609589041095</v>
      </c>
      <c r="Q571" s="1">
        <f>((P571-O571)/O571)</f>
        <v>1.3011015981735159</v>
      </c>
      <c r="R571" t="s">
        <v>152</v>
      </c>
    </row>
    <row r="572" spans="1:18" x14ac:dyDescent="0.25">
      <c r="A572" t="s">
        <v>315</v>
      </c>
      <c r="B572" t="s">
        <v>11</v>
      </c>
      <c r="C572" t="s">
        <v>296</v>
      </c>
      <c r="D572" t="s">
        <v>24</v>
      </c>
      <c r="E572" s="4" t="s">
        <v>38</v>
      </c>
      <c r="F572" t="s">
        <v>23</v>
      </c>
      <c r="G572">
        <v>1.2120000000000001E-2</v>
      </c>
      <c r="H572">
        <v>34</v>
      </c>
      <c r="I572" t="s">
        <v>16</v>
      </c>
      <c r="J572" t="s">
        <v>33</v>
      </c>
      <c r="K572" s="3">
        <v>35919</v>
      </c>
      <c r="L572" s="3">
        <v>44460</v>
      </c>
      <c r="M572" s="2">
        <f t="shared" si="44"/>
        <v>23.4</v>
      </c>
      <c r="N572">
        <f t="shared" si="45"/>
        <v>0.28360799999999997</v>
      </c>
      <c r="O572">
        <v>0.7</v>
      </c>
      <c r="P572">
        <f t="shared" si="50"/>
        <v>0.98360799999999993</v>
      </c>
      <c r="Q572" s="1">
        <f>((P572-O572)/O572)</f>
        <v>0.40515428571428569</v>
      </c>
      <c r="R572" t="s">
        <v>162</v>
      </c>
    </row>
    <row r="573" spans="1:18" x14ac:dyDescent="0.25">
      <c r="A573" t="s">
        <v>315</v>
      </c>
      <c r="B573" t="s">
        <v>11</v>
      </c>
      <c r="C573" t="s">
        <v>18</v>
      </c>
      <c r="D573" t="s">
        <v>19</v>
      </c>
      <c r="E573" t="s">
        <v>28</v>
      </c>
      <c r="F573" t="s">
        <v>29</v>
      </c>
      <c r="G573">
        <v>-1.5369999999999999</v>
      </c>
      <c r="H573">
        <v>24</v>
      </c>
      <c r="I573" t="s">
        <v>17</v>
      </c>
      <c r="J573" t="s">
        <v>17</v>
      </c>
      <c r="K573" s="3">
        <v>37167</v>
      </c>
      <c r="L573" s="3">
        <v>44460</v>
      </c>
      <c r="M573" s="2">
        <f t="shared" si="44"/>
        <v>19.980821917808218</v>
      </c>
      <c r="N573">
        <f t="shared" si="45"/>
        <v>-30.710523287671229</v>
      </c>
      <c r="O573">
        <v>70</v>
      </c>
      <c r="P573">
        <f t="shared" si="50"/>
        <v>39.289476712328771</v>
      </c>
      <c r="Q573" s="1">
        <f>((P573-O573)/O573)</f>
        <v>-0.43872176125244611</v>
      </c>
      <c r="R573" t="s">
        <v>190</v>
      </c>
    </row>
    <row r="574" spans="1:18" x14ac:dyDescent="0.25">
      <c r="A574" t="s">
        <v>315</v>
      </c>
      <c r="B574" t="s">
        <v>11</v>
      </c>
      <c r="C574" t="s">
        <v>20</v>
      </c>
      <c r="D574" t="s">
        <v>21</v>
      </c>
      <c r="E574" t="s">
        <v>22</v>
      </c>
      <c r="F574" t="s">
        <v>23</v>
      </c>
      <c r="G574" s="2">
        <v>3.9060000000000001</v>
      </c>
      <c r="H574">
        <v>34</v>
      </c>
      <c r="I574" t="s">
        <v>16</v>
      </c>
      <c r="J574" t="s">
        <v>16</v>
      </c>
      <c r="K574" s="3">
        <v>35919</v>
      </c>
      <c r="L574" s="3">
        <v>44460</v>
      </c>
      <c r="M574" s="2">
        <f t="shared" si="44"/>
        <v>23.4</v>
      </c>
      <c r="N574">
        <f t="shared" si="45"/>
        <v>91.400400000000005</v>
      </c>
      <c r="O574">
        <v>220</v>
      </c>
      <c r="P574">
        <f t="shared" si="50"/>
        <v>311.40039999999999</v>
      </c>
      <c r="Q574" s="1">
        <f>((P574-O574)/O574)</f>
        <v>0.41545636363636357</v>
      </c>
      <c r="R574" t="s">
        <v>142</v>
      </c>
    </row>
    <row r="575" spans="1:18" x14ac:dyDescent="0.25">
      <c r="A575" t="s">
        <v>315</v>
      </c>
      <c r="B575" t="s">
        <v>11</v>
      </c>
      <c r="C575" t="s">
        <v>25</v>
      </c>
      <c r="D575" t="s">
        <v>24</v>
      </c>
      <c r="E575" s="4" t="s">
        <v>40</v>
      </c>
      <c r="F575" t="s">
        <v>23</v>
      </c>
      <c r="G575">
        <v>5.5360000000000001E-4</v>
      </c>
      <c r="H575">
        <v>34</v>
      </c>
      <c r="I575" t="s">
        <v>16</v>
      </c>
      <c r="J575" t="s">
        <v>17</v>
      </c>
      <c r="K575" s="3">
        <v>35919</v>
      </c>
      <c r="L575" s="3">
        <v>44460</v>
      </c>
      <c r="M575" s="2">
        <f t="shared" si="44"/>
        <v>23.4</v>
      </c>
      <c r="N575">
        <f t="shared" si="45"/>
        <v>1.2954239999999999E-2</v>
      </c>
      <c r="O575">
        <v>0.03</v>
      </c>
      <c r="P575">
        <f t="shared" si="50"/>
        <v>4.2954239999999998E-2</v>
      </c>
      <c r="Q575" s="1">
        <f>((P575-O575)/O575)</f>
        <v>0.43180799999999997</v>
      </c>
      <c r="R575" t="s">
        <v>180</v>
      </c>
    </row>
    <row r="576" spans="1:18" x14ac:dyDescent="0.25">
      <c r="A576" t="s">
        <v>315</v>
      </c>
      <c r="B576" t="s">
        <v>11</v>
      </c>
      <c r="C576" t="s">
        <v>26</v>
      </c>
      <c r="D576" t="s">
        <v>27</v>
      </c>
      <c r="E576" t="s">
        <v>14</v>
      </c>
      <c r="F576" t="s">
        <v>15</v>
      </c>
      <c r="G576" t="s">
        <v>15</v>
      </c>
      <c r="H576">
        <v>31</v>
      </c>
      <c r="I576" t="s">
        <v>16</v>
      </c>
      <c r="J576" t="s">
        <v>33</v>
      </c>
      <c r="K576" s="3">
        <v>37167</v>
      </c>
      <c r="L576" s="3">
        <v>44460</v>
      </c>
      <c r="M576" s="2">
        <f t="shared" si="44"/>
        <v>19.980821917808218</v>
      </c>
      <c r="N576" t="e">
        <f t="shared" si="45"/>
        <v>#VALUE!</v>
      </c>
      <c r="O576" t="s">
        <v>15</v>
      </c>
      <c r="P576" t="e">
        <f t="shared" si="50"/>
        <v>#VALUE!</v>
      </c>
      <c r="Q576" s="1" t="e">
        <f>((P576-O576)/P576)</f>
        <v>#VALUE!</v>
      </c>
    </row>
    <row r="577" spans="1:18" x14ac:dyDescent="0.25">
      <c r="A577" t="s">
        <v>121</v>
      </c>
      <c r="B577" t="s">
        <v>11</v>
      </c>
      <c r="C577" t="s">
        <v>12</v>
      </c>
      <c r="D577" t="s">
        <v>13</v>
      </c>
      <c r="E577" s="5" t="s">
        <v>40</v>
      </c>
      <c r="F577" t="s">
        <v>23</v>
      </c>
      <c r="G577">
        <v>0.56530000000000002</v>
      </c>
      <c r="H577">
        <v>20</v>
      </c>
      <c r="I577" t="s">
        <v>16</v>
      </c>
      <c r="J577" t="s">
        <v>17</v>
      </c>
      <c r="K577" s="3">
        <v>37895</v>
      </c>
      <c r="L577" s="3">
        <v>44077</v>
      </c>
      <c r="M577" s="2">
        <f t="shared" si="44"/>
        <v>16.936986301369863</v>
      </c>
      <c r="N577">
        <f t="shared" si="45"/>
        <v>9.5744783561643843</v>
      </c>
      <c r="O577">
        <v>6</v>
      </c>
      <c r="P577">
        <f t="shared" si="50"/>
        <v>15.574478356164384</v>
      </c>
      <c r="Q577" s="1">
        <f>((P577-O577)/O577)</f>
        <v>1.595746392694064</v>
      </c>
      <c r="R577" t="s">
        <v>152</v>
      </c>
    </row>
    <row r="578" spans="1:18" x14ac:dyDescent="0.25">
      <c r="A578" t="s">
        <v>121</v>
      </c>
      <c r="B578" t="s">
        <v>11</v>
      </c>
      <c r="C578" t="s">
        <v>296</v>
      </c>
      <c r="D578" t="s">
        <v>24</v>
      </c>
      <c r="E578" s="4" t="s">
        <v>38</v>
      </c>
      <c r="F578" t="s">
        <v>23</v>
      </c>
      <c r="G578">
        <v>1.257E-2</v>
      </c>
      <c r="H578">
        <v>22</v>
      </c>
      <c r="I578" t="s">
        <v>16</v>
      </c>
      <c r="J578" t="s">
        <v>31</v>
      </c>
      <c r="K578" s="3">
        <v>37187</v>
      </c>
      <c r="L578" s="3">
        <v>44047</v>
      </c>
      <c r="M578" s="2">
        <f t="shared" si="44"/>
        <v>18.794520547945204</v>
      </c>
      <c r="N578">
        <f t="shared" si="45"/>
        <v>0.2362471232876712</v>
      </c>
      <c r="O578">
        <v>0.65</v>
      </c>
      <c r="P578">
        <f t="shared" si="50"/>
        <v>0.88624712328767119</v>
      </c>
      <c r="Q578" s="1">
        <f>((P578-O578)/O578)</f>
        <v>0.36345711275026332</v>
      </c>
      <c r="R578" t="s">
        <v>170</v>
      </c>
    </row>
    <row r="579" spans="1:18" x14ac:dyDescent="0.25">
      <c r="A579" t="s">
        <v>121</v>
      </c>
      <c r="B579" t="s">
        <v>11</v>
      </c>
      <c r="C579" t="s">
        <v>18</v>
      </c>
      <c r="D579" t="s">
        <v>19</v>
      </c>
      <c r="E579" s="5" t="s">
        <v>14</v>
      </c>
      <c r="F579" t="s">
        <v>15</v>
      </c>
      <c r="G579" t="s">
        <v>15</v>
      </c>
      <c r="H579">
        <v>14</v>
      </c>
      <c r="I579" t="s">
        <v>17</v>
      </c>
      <c r="J579" t="s">
        <v>17</v>
      </c>
      <c r="K579" s="3">
        <v>37895</v>
      </c>
      <c r="L579" s="3">
        <v>44047</v>
      </c>
      <c r="M579" s="2">
        <f t="shared" si="44"/>
        <v>16.854794520547944</v>
      </c>
      <c r="N579" t="e">
        <f t="shared" si="45"/>
        <v>#VALUE!</v>
      </c>
      <c r="O579" t="s">
        <v>15</v>
      </c>
      <c r="P579" t="e">
        <f t="shared" si="50"/>
        <v>#VALUE!</v>
      </c>
      <c r="Q579" s="1" t="e">
        <f>((P579-O579)/P579)</f>
        <v>#VALUE!</v>
      </c>
      <c r="R579" t="s">
        <v>181</v>
      </c>
    </row>
    <row r="580" spans="1:18" x14ac:dyDescent="0.25">
      <c r="A580" t="s">
        <v>121</v>
      </c>
      <c r="B580" t="s">
        <v>11</v>
      </c>
      <c r="C580" t="s">
        <v>20</v>
      </c>
      <c r="D580" t="s">
        <v>21</v>
      </c>
      <c r="E580" t="s">
        <v>22</v>
      </c>
      <c r="F580" t="s">
        <v>23</v>
      </c>
      <c r="G580" s="2">
        <v>2.0649999999999999</v>
      </c>
      <c r="H580">
        <v>28</v>
      </c>
      <c r="I580" t="s">
        <v>16</v>
      </c>
      <c r="J580" t="s">
        <v>31</v>
      </c>
      <c r="K580" s="3">
        <v>37187</v>
      </c>
      <c r="L580" s="3">
        <v>45221</v>
      </c>
      <c r="M580" s="2">
        <f t="shared" si="44"/>
        <v>22.010958904109589</v>
      </c>
      <c r="N580">
        <f t="shared" si="45"/>
        <v>45.452630136986301</v>
      </c>
      <c r="O580">
        <v>165</v>
      </c>
      <c r="P580">
        <f t="shared" si="50"/>
        <v>210.4526301369863</v>
      </c>
      <c r="Q580" s="1">
        <f>((P580-O580)/O580)</f>
        <v>0.27547048567870486</v>
      </c>
      <c r="R580" t="s">
        <v>202</v>
      </c>
    </row>
    <row r="581" spans="1:18" x14ac:dyDescent="0.25">
      <c r="A581" t="s">
        <v>121</v>
      </c>
      <c r="B581" t="s">
        <v>11</v>
      </c>
      <c r="C581" t="s">
        <v>25</v>
      </c>
      <c r="D581" t="s">
        <v>24</v>
      </c>
      <c r="E581" t="s">
        <v>14</v>
      </c>
      <c r="F581" t="s">
        <v>15</v>
      </c>
      <c r="G581" t="s">
        <v>15</v>
      </c>
      <c r="H581">
        <v>29</v>
      </c>
      <c r="I581" t="s">
        <v>17</v>
      </c>
      <c r="J581" t="s">
        <v>31</v>
      </c>
      <c r="K581" s="3">
        <v>37187</v>
      </c>
      <c r="L581" s="3">
        <v>44047</v>
      </c>
      <c r="M581" s="2">
        <f t="shared" si="44"/>
        <v>18.794520547945204</v>
      </c>
      <c r="N581" t="e">
        <f t="shared" si="45"/>
        <v>#VALUE!</v>
      </c>
      <c r="O581" t="s">
        <v>15</v>
      </c>
      <c r="P581" t="e">
        <f t="shared" si="50"/>
        <v>#VALUE!</v>
      </c>
      <c r="Q581" s="1" t="e">
        <f>((P581-O581)/P581)</f>
        <v>#VALUE!</v>
      </c>
    </row>
    <row r="582" spans="1:18" x14ac:dyDescent="0.25">
      <c r="A582" t="s">
        <v>121</v>
      </c>
      <c r="B582" t="s">
        <v>11</v>
      </c>
      <c r="C582" t="s">
        <v>26</v>
      </c>
      <c r="D582" t="s">
        <v>27</v>
      </c>
      <c r="E582" t="s">
        <v>14</v>
      </c>
      <c r="F582" t="s">
        <v>15</v>
      </c>
      <c r="G582" t="s">
        <v>15</v>
      </c>
      <c r="H582">
        <v>17</v>
      </c>
      <c r="I582" t="s">
        <v>33</v>
      </c>
      <c r="J582" t="s">
        <v>16</v>
      </c>
      <c r="K582" s="3">
        <v>37895</v>
      </c>
      <c r="L582" s="3">
        <v>44047</v>
      </c>
      <c r="M582" s="2">
        <f t="shared" si="44"/>
        <v>16.854794520547944</v>
      </c>
      <c r="N582" t="e">
        <f t="shared" si="45"/>
        <v>#VALUE!</v>
      </c>
      <c r="O582" t="s">
        <v>15</v>
      </c>
      <c r="P582" t="e">
        <f t="shared" si="50"/>
        <v>#VALUE!</v>
      </c>
      <c r="Q582" s="1" t="e">
        <f>((P582-O582)/P582)</f>
        <v>#VALUE!</v>
      </c>
      <c r="R582" t="s">
        <v>195</v>
      </c>
    </row>
    <row r="583" spans="1:18" x14ac:dyDescent="0.25">
      <c r="A583" t="s">
        <v>122</v>
      </c>
      <c r="B583" t="s">
        <v>11</v>
      </c>
      <c r="C583" t="s">
        <v>12</v>
      </c>
      <c r="D583" t="s">
        <v>13</v>
      </c>
      <c r="E583" s="4" t="s">
        <v>22</v>
      </c>
      <c r="F583" t="s">
        <v>23</v>
      </c>
      <c r="G583">
        <v>0.80100000000000005</v>
      </c>
      <c r="H583">
        <v>40</v>
      </c>
      <c r="I583" t="s">
        <v>16</v>
      </c>
      <c r="J583" t="s">
        <v>17</v>
      </c>
      <c r="K583" s="3">
        <v>37579</v>
      </c>
      <c r="L583" s="3">
        <v>44908</v>
      </c>
      <c r="M583" s="2">
        <f t="shared" si="44"/>
        <v>20.079452054794519</v>
      </c>
      <c r="N583">
        <f t="shared" si="45"/>
        <v>16.08364109589041</v>
      </c>
      <c r="O583">
        <v>12</v>
      </c>
      <c r="P583">
        <f t="shared" si="50"/>
        <v>28.08364109589041</v>
      </c>
      <c r="Q583" s="1">
        <f>((P583-O583)/O583)</f>
        <v>1.3403034246575343</v>
      </c>
    </row>
    <row r="584" spans="1:18" x14ac:dyDescent="0.25">
      <c r="A584" t="s">
        <v>122</v>
      </c>
      <c r="B584" t="s">
        <v>11</v>
      </c>
      <c r="C584" t="s">
        <v>296</v>
      </c>
      <c r="D584" t="s">
        <v>24</v>
      </c>
      <c r="E584" s="4" t="s">
        <v>22</v>
      </c>
      <c r="F584" t="s">
        <v>23</v>
      </c>
      <c r="G584">
        <v>1.153E-2</v>
      </c>
      <c r="H584">
        <v>44</v>
      </c>
      <c r="I584" t="s">
        <v>16</v>
      </c>
      <c r="J584" t="s">
        <v>17</v>
      </c>
      <c r="K584" s="3">
        <v>36472</v>
      </c>
      <c r="L584" s="3">
        <v>44872</v>
      </c>
      <c r="M584" s="2">
        <f t="shared" ref="M584:M594" si="52">(L584-K584)/365</f>
        <v>23.013698630136986</v>
      </c>
      <c r="N584">
        <f t="shared" ref="N584:N594" si="53">G584*M584</f>
        <v>0.26534794520547944</v>
      </c>
      <c r="O584">
        <v>0.55000000000000004</v>
      </c>
      <c r="P584">
        <f t="shared" ref="P584:P594" si="54">O584+N584</f>
        <v>0.81534794520547949</v>
      </c>
      <c r="Q584" s="1">
        <f t="shared" ref="Q584" si="55">((P584-O584)/O584)</f>
        <v>0.48245080946450802</v>
      </c>
    </row>
    <row r="585" spans="1:18" x14ac:dyDescent="0.25">
      <c r="A585" t="s">
        <v>122</v>
      </c>
      <c r="B585" t="s">
        <v>11</v>
      </c>
      <c r="C585" t="s">
        <v>18</v>
      </c>
      <c r="D585" t="s">
        <v>19</v>
      </c>
      <c r="E585" s="5" t="s">
        <v>14</v>
      </c>
      <c r="F585" t="s">
        <v>15</v>
      </c>
      <c r="G585" t="s">
        <v>15</v>
      </c>
      <c r="H585">
        <v>31</v>
      </c>
      <c r="I585" t="s">
        <v>33</v>
      </c>
      <c r="J585" t="s">
        <v>17</v>
      </c>
      <c r="K585" s="3">
        <v>38272</v>
      </c>
      <c r="L585" s="3">
        <v>44872</v>
      </c>
      <c r="M585" s="2">
        <f t="shared" si="52"/>
        <v>18.082191780821919</v>
      </c>
      <c r="N585" t="e">
        <f t="shared" si="53"/>
        <v>#VALUE!</v>
      </c>
      <c r="O585" t="s">
        <v>15</v>
      </c>
      <c r="P585" t="e">
        <f t="shared" si="54"/>
        <v>#VALUE!</v>
      </c>
      <c r="Q585" s="1" t="e">
        <f t="shared" ref="Q585:Q594" si="56">((P585-O585)/P585)</f>
        <v>#VALUE!</v>
      </c>
    </row>
    <row r="586" spans="1:18" x14ac:dyDescent="0.25">
      <c r="A586" t="s">
        <v>122</v>
      </c>
      <c r="B586" t="s">
        <v>11</v>
      </c>
      <c r="C586" t="s">
        <v>20</v>
      </c>
      <c r="D586" t="s">
        <v>21</v>
      </c>
      <c r="E586" t="s">
        <v>22</v>
      </c>
      <c r="F586" t="s">
        <v>23</v>
      </c>
      <c r="G586" s="2">
        <v>0.77</v>
      </c>
      <c r="H586">
        <v>40</v>
      </c>
      <c r="I586" t="s">
        <v>16</v>
      </c>
      <c r="J586" t="s">
        <v>33</v>
      </c>
      <c r="K586" s="3">
        <v>36472</v>
      </c>
      <c r="L586" s="3">
        <v>44872</v>
      </c>
      <c r="M586" s="2">
        <f t="shared" si="52"/>
        <v>23.013698630136986</v>
      </c>
      <c r="N586">
        <f t="shared" si="53"/>
        <v>17.720547945205478</v>
      </c>
      <c r="O586">
        <v>60</v>
      </c>
      <c r="P586">
        <f t="shared" si="54"/>
        <v>77.720547945205482</v>
      </c>
      <c r="Q586" s="1">
        <f>((P586-O586)/O586)</f>
        <v>0.29534246575342471</v>
      </c>
    </row>
    <row r="587" spans="1:18" x14ac:dyDescent="0.25">
      <c r="A587" t="s">
        <v>122</v>
      </c>
      <c r="B587" t="s">
        <v>11</v>
      </c>
      <c r="C587" t="s">
        <v>25</v>
      </c>
      <c r="D587" t="s">
        <v>24</v>
      </c>
      <c r="E587" t="s">
        <v>14</v>
      </c>
      <c r="F587" t="s">
        <v>15</v>
      </c>
      <c r="G587" t="s">
        <v>15</v>
      </c>
      <c r="H587">
        <v>44</v>
      </c>
      <c r="I587" t="s">
        <v>16</v>
      </c>
      <c r="J587" t="s">
        <v>17</v>
      </c>
      <c r="K587" s="3">
        <v>36472</v>
      </c>
      <c r="L587" s="3">
        <v>44872</v>
      </c>
      <c r="M587" s="2">
        <f t="shared" si="52"/>
        <v>23.013698630136986</v>
      </c>
      <c r="N587" t="e">
        <f t="shared" si="53"/>
        <v>#VALUE!</v>
      </c>
      <c r="O587" t="s">
        <v>15</v>
      </c>
      <c r="P587" t="e">
        <f t="shared" si="54"/>
        <v>#VALUE!</v>
      </c>
      <c r="Q587" s="1" t="e">
        <f t="shared" si="56"/>
        <v>#VALUE!</v>
      </c>
    </row>
    <row r="588" spans="1:18" x14ac:dyDescent="0.25">
      <c r="A588" t="s">
        <v>122</v>
      </c>
      <c r="B588" t="s">
        <v>11</v>
      </c>
      <c r="C588" t="s">
        <v>26</v>
      </c>
      <c r="D588" t="s">
        <v>27</v>
      </c>
      <c r="E588" s="4" t="s">
        <v>34</v>
      </c>
      <c r="F588" t="s">
        <v>29</v>
      </c>
      <c r="G588">
        <v>-0.62019999999999997</v>
      </c>
      <c r="H588">
        <v>32</v>
      </c>
      <c r="I588" t="s">
        <v>16</v>
      </c>
      <c r="J588" t="s">
        <v>31</v>
      </c>
      <c r="K588" s="3">
        <v>38272</v>
      </c>
      <c r="L588" s="3">
        <v>44905</v>
      </c>
      <c r="M588" s="2">
        <f t="shared" si="52"/>
        <v>18.172602739726027</v>
      </c>
      <c r="N588">
        <f t="shared" si="53"/>
        <v>-11.270648219178081</v>
      </c>
      <c r="O588">
        <v>30</v>
      </c>
      <c r="P588">
        <f t="shared" si="54"/>
        <v>18.729351780821919</v>
      </c>
      <c r="Q588" s="1">
        <f>((P588-O588)/O588)</f>
        <v>-0.37568827397260274</v>
      </c>
      <c r="R588" t="s">
        <v>147</v>
      </c>
    </row>
    <row r="589" spans="1:18" x14ac:dyDescent="0.25">
      <c r="A589" t="s">
        <v>316</v>
      </c>
      <c r="B589" t="s">
        <v>11</v>
      </c>
      <c r="C589" t="s">
        <v>12</v>
      </c>
      <c r="D589" t="s">
        <v>13</v>
      </c>
      <c r="E589" s="4" t="s">
        <v>14</v>
      </c>
      <c r="F589" t="s">
        <v>15</v>
      </c>
      <c r="G589" t="s">
        <v>15</v>
      </c>
      <c r="H589">
        <v>41</v>
      </c>
      <c r="K589" s="3">
        <v>37572</v>
      </c>
      <c r="L589" s="3">
        <v>44844</v>
      </c>
      <c r="M589" s="2">
        <f t="shared" si="52"/>
        <v>19.923287671232877</v>
      </c>
      <c r="N589" t="e">
        <f t="shared" si="53"/>
        <v>#VALUE!</v>
      </c>
      <c r="O589" t="s">
        <v>15</v>
      </c>
      <c r="P589" t="e">
        <f t="shared" si="54"/>
        <v>#VALUE!</v>
      </c>
      <c r="Q589" s="1" t="e">
        <f t="shared" si="56"/>
        <v>#VALUE!</v>
      </c>
      <c r="R589" t="s">
        <v>140</v>
      </c>
    </row>
    <row r="590" spans="1:18" x14ac:dyDescent="0.25">
      <c r="A590" t="s">
        <v>316</v>
      </c>
      <c r="B590" t="s">
        <v>11</v>
      </c>
      <c r="C590" t="s">
        <v>296</v>
      </c>
      <c r="D590" t="s">
        <v>24</v>
      </c>
      <c r="E590" t="s">
        <v>14</v>
      </c>
      <c r="F590" t="s">
        <v>15</v>
      </c>
      <c r="G590" t="s">
        <v>15</v>
      </c>
      <c r="H590">
        <v>46</v>
      </c>
      <c r="K590" s="3">
        <v>36438</v>
      </c>
      <c r="L590" s="3">
        <v>44844</v>
      </c>
      <c r="M590" s="2">
        <f t="shared" si="52"/>
        <v>23.030136986301368</v>
      </c>
      <c r="N590" t="e">
        <f t="shared" si="53"/>
        <v>#VALUE!</v>
      </c>
      <c r="O590" t="s">
        <v>15</v>
      </c>
      <c r="P590" t="e">
        <f t="shared" si="54"/>
        <v>#VALUE!</v>
      </c>
      <c r="Q590" s="1" t="e">
        <f t="shared" si="56"/>
        <v>#VALUE!</v>
      </c>
      <c r="R590" t="s">
        <v>168</v>
      </c>
    </row>
    <row r="591" spans="1:18" x14ac:dyDescent="0.25">
      <c r="A591" t="s">
        <v>316</v>
      </c>
      <c r="B591" t="s">
        <v>11</v>
      </c>
      <c r="C591" t="s">
        <v>18</v>
      </c>
      <c r="D591" t="s">
        <v>19</v>
      </c>
      <c r="E591" s="5" t="s">
        <v>14</v>
      </c>
      <c r="F591" t="s">
        <v>15</v>
      </c>
      <c r="G591" t="s">
        <v>15</v>
      </c>
      <c r="H591">
        <v>22</v>
      </c>
      <c r="K591" s="3">
        <v>38264</v>
      </c>
      <c r="L591" s="3">
        <v>44844</v>
      </c>
      <c r="M591" s="2">
        <f t="shared" si="52"/>
        <v>18.027397260273972</v>
      </c>
      <c r="N591" t="e">
        <f t="shared" si="53"/>
        <v>#VALUE!</v>
      </c>
      <c r="O591" t="s">
        <v>15</v>
      </c>
      <c r="P591" t="e">
        <f t="shared" si="54"/>
        <v>#VALUE!</v>
      </c>
      <c r="Q591" s="1" t="e">
        <f t="shared" si="56"/>
        <v>#VALUE!</v>
      </c>
    </row>
    <row r="592" spans="1:18" x14ac:dyDescent="0.25">
      <c r="A592" t="s">
        <v>316</v>
      </c>
      <c r="B592" t="s">
        <v>11</v>
      </c>
      <c r="C592" t="s">
        <v>20</v>
      </c>
      <c r="D592" t="s">
        <v>21</v>
      </c>
      <c r="E592" t="s">
        <v>22</v>
      </c>
      <c r="F592" t="s">
        <v>23</v>
      </c>
      <c r="G592" s="2">
        <v>3.9489999999999998</v>
      </c>
      <c r="H592">
        <v>26</v>
      </c>
      <c r="I592" t="s">
        <v>16</v>
      </c>
      <c r="J592" t="s">
        <v>33</v>
      </c>
      <c r="K592" s="3">
        <v>36438</v>
      </c>
      <c r="L592" s="3">
        <v>42605</v>
      </c>
      <c r="M592" s="2">
        <f t="shared" si="52"/>
        <v>16.895890410958906</v>
      </c>
      <c r="N592">
        <f t="shared" si="53"/>
        <v>66.721871232876723</v>
      </c>
      <c r="O592">
        <v>205</v>
      </c>
      <c r="P592">
        <f t="shared" si="54"/>
        <v>271.72187123287671</v>
      </c>
      <c r="Q592" s="1">
        <f>((P592-O592)/O592)</f>
        <v>0.32547254259939856</v>
      </c>
      <c r="R592" t="s">
        <v>142</v>
      </c>
    </row>
    <row r="593" spans="1:17" x14ac:dyDescent="0.25">
      <c r="A593" t="s">
        <v>316</v>
      </c>
      <c r="B593" t="s">
        <v>11</v>
      </c>
      <c r="C593" t="s">
        <v>25</v>
      </c>
      <c r="D593" t="s">
        <v>24</v>
      </c>
      <c r="E593" t="s">
        <v>14</v>
      </c>
      <c r="F593" t="s">
        <v>15</v>
      </c>
      <c r="G593" t="s">
        <v>15</v>
      </c>
      <c r="H593">
        <v>46</v>
      </c>
      <c r="K593" s="3">
        <v>36438</v>
      </c>
      <c r="L593" s="3">
        <v>44844</v>
      </c>
      <c r="M593" s="2">
        <f t="shared" si="52"/>
        <v>23.030136986301368</v>
      </c>
      <c r="N593" t="e">
        <f t="shared" si="53"/>
        <v>#VALUE!</v>
      </c>
      <c r="O593" t="s">
        <v>15</v>
      </c>
      <c r="P593" t="e">
        <f t="shared" si="54"/>
        <v>#VALUE!</v>
      </c>
      <c r="Q593" s="1" t="e">
        <f t="shared" si="56"/>
        <v>#VALUE!</v>
      </c>
    </row>
    <row r="594" spans="1:17" x14ac:dyDescent="0.25">
      <c r="A594" t="s">
        <v>316</v>
      </c>
      <c r="B594" t="s">
        <v>11</v>
      </c>
      <c r="C594" t="s">
        <v>26</v>
      </c>
      <c r="D594" t="s">
        <v>27</v>
      </c>
      <c r="E594" t="s">
        <v>14</v>
      </c>
      <c r="F594" t="s">
        <v>15</v>
      </c>
      <c r="G594" t="s">
        <v>15</v>
      </c>
      <c r="H594">
        <v>28</v>
      </c>
      <c r="K594" s="3">
        <v>38264</v>
      </c>
      <c r="L594" s="3">
        <v>44844</v>
      </c>
      <c r="M594" s="2">
        <f t="shared" si="52"/>
        <v>18.027397260273972</v>
      </c>
      <c r="N594" t="e">
        <f t="shared" si="53"/>
        <v>#VALUE!</v>
      </c>
      <c r="O594" t="s">
        <v>15</v>
      </c>
      <c r="P594" t="e">
        <f t="shared" si="54"/>
        <v>#VALUE!</v>
      </c>
      <c r="Q594" s="1" t="e">
        <f t="shared" si="56"/>
        <v>#VALUE!</v>
      </c>
    </row>
  </sheetData>
  <autoFilter ref="A1:R594" xr:uid="{6E95389B-9B91-4ACA-A1F0-8EEE721DE03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517-81FB-4C31-A5CC-D59A26DFB0D1}">
  <sheetPr filterMode="1"/>
  <dimension ref="A1:U594"/>
  <sheetViews>
    <sheetView zoomScale="130" zoomScaleNormal="130" workbookViewId="0">
      <pane xSplit="1" ySplit="1" topLeftCell="G44" activePane="bottomRight" state="frozen"/>
      <selection pane="topRight" activeCell="B1" sqref="B1"/>
      <selection pane="bottomLeft" activeCell="A2" sqref="A2"/>
      <selection pane="bottomRight" activeCell="Q535" sqref="Q535"/>
    </sheetView>
  </sheetViews>
  <sheetFormatPr defaultRowHeight="15" x14ac:dyDescent="0.25"/>
  <cols>
    <col min="1" max="1" width="19.85546875" bestFit="1" customWidth="1"/>
    <col min="2" max="5" width="19.85546875" customWidth="1"/>
    <col min="6" max="6" width="11" bestFit="1" customWidth="1"/>
    <col min="7" max="7" width="23.140625" bestFit="1" customWidth="1"/>
    <col min="8" max="8" width="13.140625" bestFit="1" customWidth="1"/>
    <col min="9" max="9" width="13.140625" customWidth="1"/>
    <col min="10" max="10" width="8.85546875" bestFit="1" customWidth="1"/>
    <col min="11" max="11" width="10.7109375" style="2" bestFit="1" customWidth="1"/>
    <col min="12" max="12" width="4.7109375" bestFit="1" customWidth="1"/>
    <col min="13" max="13" width="10.85546875" bestFit="1" customWidth="1"/>
    <col min="14" max="14" width="16" bestFit="1" customWidth="1"/>
    <col min="15" max="16" width="11.140625" style="3" bestFit="1" customWidth="1"/>
    <col min="17" max="17" width="9.140625" style="1"/>
    <col min="18" max="18" width="9.140625" style="7"/>
    <col min="20" max="20" width="9.140625" style="2"/>
    <col min="21" max="21" width="6.5703125" bestFit="1" customWidth="1"/>
  </cols>
  <sheetData>
    <row r="1" spans="1:21" x14ac:dyDescent="0.25">
      <c r="A1" t="s">
        <v>0</v>
      </c>
      <c r="B1" t="s">
        <v>218</v>
      </c>
      <c r="C1" t="s">
        <v>219</v>
      </c>
      <c r="D1" t="s">
        <v>238</v>
      </c>
      <c r="E1" t="s">
        <v>239</v>
      </c>
      <c r="F1" t="s">
        <v>1</v>
      </c>
      <c r="G1" t="s">
        <v>228</v>
      </c>
      <c r="H1" t="s">
        <v>229</v>
      </c>
      <c r="I1" t="s">
        <v>227</v>
      </c>
      <c r="J1" t="s">
        <v>4</v>
      </c>
      <c r="K1" s="2" t="s">
        <v>230</v>
      </c>
      <c r="L1" t="s">
        <v>7</v>
      </c>
      <c r="M1" t="s">
        <v>231</v>
      </c>
      <c r="N1" t="s">
        <v>232</v>
      </c>
      <c r="O1" s="3" t="s">
        <v>233</v>
      </c>
      <c r="P1" s="3" t="s">
        <v>234</v>
      </c>
      <c r="Q1" s="1" t="s">
        <v>128</v>
      </c>
      <c r="R1" s="7" t="s">
        <v>235</v>
      </c>
      <c r="S1" t="s">
        <v>236</v>
      </c>
      <c r="T1" s="2" t="s">
        <v>237</v>
      </c>
      <c r="U1" t="s">
        <v>3</v>
      </c>
    </row>
    <row r="2" spans="1:21" hidden="1" x14ac:dyDescent="0.25">
      <c r="A2" t="s">
        <v>10</v>
      </c>
      <c r="B2">
        <v>34.887219000000002</v>
      </c>
      <c r="C2">
        <v>-99.294858000000005</v>
      </c>
      <c r="D2" t="s">
        <v>241</v>
      </c>
      <c r="E2" t="s">
        <v>240</v>
      </c>
      <c r="F2" t="s">
        <v>11</v>
      </c>
      <c r="G2" t="s">
        <v>221</v>
      </c>
      <c r="H2">
        <v>0</v>
      </c>
      <c r="J2" t="s">
        <v>14</v>
      </c>
      <c r="K2" t="s">
        <v>15</v>
      </c>
      <c r="L2">
        <v>23</v>
      </c>
      <c r="M2" t="s">
        <v>16</v>
      </c>
      <c r="N2" t="s">
        <v>17</v>
      </c>
      <c r="O2" s="3">
        <v>37588</v>
      </c>
      <c r="P2" s="3">
        <v>44467</v>
      </c>
      <c r="Q2" s="1" t="s">
        <v>14</v>
      </c>
      <c r="R2" s="7">
        <v>18.846575342465755</v>
      </c>
      <c r="S2" t="s">
        <v>14</v>
      </c>
      <c r="T2" t="s">
        <v>14</v>
      </c>
      <c r="U2" t="s">
        <v>13</v>
      </c>
    </row>
    <row r="3" spans="1:21" hidden="1" x14ac:dyDescent="0.25">
      <c r="A3" t="s">
        <v>10</v>
      </c>
      <c r="B3">
        <v>34.887219000000002</v>
      </c>
      <c r="C3">
        <v>-99.294858000000005</v>
      </c>
      <c r="D3" t="s">
        <v>241</v>
      </c>
      <c r="E3" t="s">
        <v>240</v>
      </c>
      <c r="F3" t="s">
        <v>11</v>
      </c>
      <c r="G3" t="s">
        <v>222</v>
      </c>
      <c r="H3">
        <v>3</v>
      </c>
      <c r="J3" s="4" t="s">
        <v>22</v>
      </c>
      <c r="K3">
        <v>1.5299999999999999E-2</v>
      </c>
      <c r="L3">
        <v>24</v>
      </c>
      <c r="M3" t="s">
        <v>16</v>
      </c>
      <c r="N3" t="s">
        <v>17</v>
      </c>
      <c r="O3" s="3">
        <v>36446</v>
      </c>
      <c r="P3" s="3">
        <v>44467</v>
      </c>
      <c r="Q3" s="1">
        <v>0.48727933293627157</v>
      </c>
      <c r="R3" s="7">
        <v>21.975342465753425</v>
      </c>
      <c r="S3">
        <v>0.69</v>
      </c>
      <c r="T3" s="2">
        <v>1.0262227397260273</v>
      </c>
      <c r="U3" t="s">
        <v>24</v>
      </c>
    </row>
    <row r="4" spans="1:21" hidden="1" x14ac:dyDescent="0.25">
      <c r="A4" t="s">
        <v>10</v>
      </c>
      <c r="B4">
        <v>34.887219000000002</v>
      </c>
      <c r="C4">
        <v>-99.294858000000005</v>
      </c>
      <c r="D4" t="s">
        <v>241</v>
      </c>
      <c r="E4" t="s">
        <v>240</v>
      </c>
      <c r="F4" t="s">
        <v>11</v>
      </c>
      <c r="G4" t="s">
        <v>224</v>
      </c>
      <c r="H4">
        <v>0</v>
      </c>
      <c r="I4" t="s">
        <v>15</v>
      </c>
      <c r="J4" t="s">
        <v>14</v>
      </c>
      <c r="K4" t="s">
        <v>15</v>
      </c>
      <c r="L4">
        <v>17</v>
      </c>
      <c r="M4" t="s">
        <v>16</v>
      </c>
      <c r="N4" t="s">
        <v>17</v>
      </c>
      <c r="O4" s="3">
        <v>38237</v>
      </c>
      <c r="P4" s="3">
        <v>44467</v>
      </c>
      <c r="Q4" s="1" t="s">
        <v>14</v>
      </c>
      <c r="R4" s="7">
        <v>17.068493150684933</v>
      </c>
      <c r="S4" t="s">
        <v>14</v>
      </c>
      <c r="T4" t="s">
        <v>14</v>
      </c>
      <c r="U4" t="s">
        <v>19</v>
      </c>
    </row>
    <row r="5" spans="1:21" hidden="1" x14ac:dyDescent="0.25">
      <c r="A5" t="s">
        <v>10</v>
      </c>
      <c r="B5">
        <v>34.887219000000002</v>
      </c>
      <c r="C5">
        <v>-99.294858000000005</v>
      </c>
      <c r="D5" t="s">
        <v>241</v>
      </c>
      <c r="E5" t="s">
        <v>240</v>
      </c>
      <c r="F5" t="s">
        <v>11</v>
      </c>
      <c r="G5" t="s">
        <v>225</v>
      </c>
      <c r="H5">
        <v>99</v>
      </c>
      <c r="I5" t="s">
        <v>15</v>
      </c>
      <c r="J5" t="s">
        <v>186</v>
      </c>
      <c r="K5" t="s">
        <v>15</v>
      </c>
      <c r="L5">
        <v>7</v>
      </c>
      <c r="M5" t="s">
        <v>16</v>
      </c>
      <c r="N5" t="s">
        <v>16</v>
      </c>
      <c r="O5" s="3" t="s">
        <v>186</v>
      </c>
      <c r="P5" s="3" t="s">
        <v>186</v>
      </c>
      <c r="Q5" s="1" t="s">
        <v>186</v>
      </c>
      <c r="R5" s="7" t="s">
        <v>186</v>
      </c>
      <c r="S5" t="s">
        <v>186</v>
      </c>
      <c r="T5" t="s">
        <v>186</v>
      </c>
      <c r="U5" t="s">
        <v>21</v>
      </c>
    </row>
    <row r="6" spans="1:21" hidden="1" x14ac:dyDescent="0.25">
      <c r="A6" t="s">
        <v>10</v>
      </c>
      <c r="B6">
        <v>34.887219000000002</v>
      </c>
      <c r="C6">
        <v>-99.294858000000005</v>
      </c>
      <c r="D6" t="s">
        <v>241</v>
      </c>
      <c r="E6" t="s">
        <v>240</v>
      </c>
      <c r="F6" t="s">
        <v>11</v>
      </c>
      <c r="G6" t="s">
        <v>223</v>
      </c>
      <c r="H6">
        <v>0</v>
      </c>
      <c r="I6" t="s">
        <v>15</v>
      </c>
      <c r="J6" t="s">
        <v>14</v>
      </c>
      <c r="K6" t="s">
        <v>15</v>
      </c>
      <c r="L6">
        <v>24</v>
      </c>
      <c r="M6" t="s">
        <v>16</v>
      </c>
      <c r="N6" t="s">
        <v>17</v>
      </c>
      <c r="O6" s="3">
        <v>36446</v>
      </c>
      <c r="P6" s="3">
        <v>44467</v>
      </c>
      <c r="Q6" s="1" t="s">
        <v>14</v>
      </c>
      <c r="R6" s="7">
        <v>21.975342465753425</v>
      </c>
      <c r="S6" t="s">
        <v>14</v>
      </c>
      <c r="T6" t="s">
        <v>14</v>
      </c>
      <c r="U6" t="s">
        <v>24</v>
      </c>
    </row>
    <row r="7" spans="1:21" hidden="1" x14ac:dyDescent="0.25">
      <c r="A7" t="s">
        <v>10</v>
      </c>
      <c r="B7">
        <v>34.887219000000002</v>
      </c>
      <c r="C7">
        <v>-99.294858000000005</v>
      </c>
      <c r="D7" t="s">
        <v>241</v>
      </c>
      <c r="E7" t="s">
        <v>240</v>
      </c>
      <c r="F7" t="s">
        <v>11</v>
      </c>
      <c r="G7" t="s">
        <v>226</v>
      </c>
      <c r="H7">
        <v>-1</v>
      </c>
      <c r="I7" t="s">
        <v>29</v>
      </c>
      <c r="J7" s="5" t="s">
        <v>28</v>
      </c>
      <c r="K7">
        <v>-0.46029999999999999</v>
      </c>
      <c r="L7">
        <v>18</v>
      </c>
      <c r="M7" t="s">
        <v>17</v>
      </c>
      <c r="N7" t="s">
        <v>16</v>
      </c>
      <c r="O7" s="3">
        <v>38237</v>
      </c>
      <c r="P7" s="3">
        <v>44498</v>
      </c>
      <c r="Q7" s="1">
        <v>-0.35889642590286425</v>
      </c>
      <c r="R7" s="7">
        <v>17.153424657534245</v>
      </c>
      <c r="S7">
        <v>22</v>
      </c>
      <c r="T7" s="2">
        <v>14.104278630136987</v>
      </c>
      <c r="U7" t="s">
        <v>27</v>
      </c>
    </row>
    <row r="8" spans="1:21" hidden="1" x14ac:dyDescent="0.25">
      <c r="A8" t="s">
        <v>30</v>
      </c>
      <c r="B8">
        <v>34.433106000000002</v>
      </c>
      <c r="C8">
        <v>-97.026622000000003</v>
      </c>
      <c r="D8" t="s">
        <v>209</v>
      </c>
      <c r="E8" t="s">
        <v>240</v>
      </c>
      <c r="F8" t="s">
        <v>11</v>
      </c>
      <c r="G8" t="s">
        <v>221</v>
      </c>
      <c r="H8">
        <v>3</v>
      </c>
      <c r="I8" t="s">
        <v>23</v>
      </c>
      <c r="J8" s="4" t="s">
        <v>22</v>
      </c>
      <c r="K8">
        <v>0.63500000000000001</v>
      </c>
      <c r="L8">
        <v>30</v>
      </c>
      <c r="M8" t="s">
        <v>16</v>
      </c>
      <c r="N8" t="s">
        <v>31</v>
      </c>
      <c r="O8" s="3">
        <v>37775</v>
      </c>
      <c r="P8" s="3">
        <v>45048</v>
      </c>
      <c r="Q8" s="1">
        <v>2.5306054794520549</v>
      </c>
      <c r="R8" s="7">
        <v>19.926027397260274</v>
      </c>
      <c r="S8">
        <v>5</v>
      </c>
      <c r="T8" s="2">
        <v>17.653027397260274</v>
      </c>
      <c r="U8" t="s">
        <v>13</v>
      </c>
    </row>
    <row r="9" spans="1:21" hidden="1" x14ac:dyDescent="0.25">
      <c r="A9" t="s">
        <v>30</v>
      </c>
      <c r="B9">
        <v>34.433106000000002</v>
      </c>
      <c r="C9">
        <v>-97.026622000000003</v>
      </c>
      <c r="D9" t="s">
        <v>209</v>
      </c>
      <c r="E9" t="s">
        <v>240</v>
      </c>
      <c r="F9" t="s">
        <v>11</v>
      </c>
      <c r="G9" t="s">
        <v>222</v>
      </c>
      <c r="H9">
        <v>3</v>
      </c>
      <c r="I9" t="s">
        <v>23</v>
      </c>
      <c r="J9" s="4" t="s">
        <v>22</v>
      </c>
      <c r="K9">
        <v>9.3290000000000005E-3</v>
      </c>
      <c r="L9">
        <v>40</v>
      </c>
      <c r="M9" t="s">
        <v>16</v>
      </c>
      <c r="N9" t="s">
        <v>16</v>
      </c>
      <c r="O9" s="3">
        <v>36480</v>
      </c>
      <c r="P9" s="3">
        <v>45160</v>
      </c>
      <c r="Q9" s="1">
        <v>0.4930028614916287</v>
      </c>
      <c r="R9" s="7">
        <v>23.780821917808218</v>
      </c>
      <c r="S9">
        <v>0.45</v>
      </c>
      <c r="T9" s="2">
        <v>0.67185128767123292</v>
      </c>
      <c r="U9" t="s">
        <v>24</v>
      </c>
    </row>
    <row r="10" spans="1:21" hidden="1" x14ac:dyDescent="0.25">
      <c r="A10" t="s">
        <v>30</v>
      </c>
      <c r="B10">
        <v>34.433106000000002</v>
      </c>
      <c r="C10">
        <v>-97.026622000000003</v>
      </c>
      <c r="D10" t="s">
        <v>209</v>
      </c>
      <c r="E10" t="s">
        <v>240</v>
      </c>
      <c r="F10" t="s">
        <v>11</v>
      </c>
      <c r="G10" t="s">
        <v>224</v>
      </c>
      <c r="H10">
        <v>-1</v>
      </c>
      <c r="I10" t="s">
        <v>29</v>
      </c>
      <c r="J10" s="4" t="s">
        <v>28</v>
      </c>
      <c r="K10">
        <v>-5.7060000000000004</v>
      </c>
      <c r="L10">
        <v>25</v>
      </c>
      <c r="M10" t="s">
        <v>17</v>
      </c>
      <c r="N10" t="s">
        <v>17</v>
      </c>
      <c r="O10" s="3">
        <v>38300</v>
      </c>
      <c r="P10" s="3">
        <v>45082</v>
      </c>
      <c r="Q10" s="1">
        <v>-0.59230262493303742</v>
      </c>
      <c r="R10" s="7">
        <v>18.580821917808219</v>
      </c>
      <c r="S10">
        <v>179</v>
      </c>
      <c r="T10" s="2">
        <v>72.977830136986299</v>
      </c>
      <c r="U10" t="s">
        <v>19</v>
      </c>
    </row>
    <row r="11" spans="1:21" hidden="1" x14ac:dyDescent="0.25">
      <c r="A11" t="s">
        <v>30</v>
      </c>
      <c r="B11">
        <v>34.433106000000002</v>
      </c>
      <c r="C11">
        <v>-97.026622000000003</v>
      </c>
      <c r="D11" t="s">
        <v>209</v>
      </c>
      <c r="E11" t="s">
        <v>240</v>
      </c>
      <c r="F11" t="s">
        <v>11</v>
      </c>
      <c r="G11" t="s">
        <v>225</v>
      </c>
      <c r="H11">
        <v>0</v>
      </c>
      <c r="I11" t="s">
        <v>15</v>
      </c>
      <c r="J11" t="s">
        <v>14</v>
      </c>
      <c r="K11" s="2" t="s">
        <v>15</v>
      </c>
      <c r="L11">
        <v>44</v>
      </c>
      <c r="M11" t="s">
        <v>16</v>
      </c>
      <c r="N11" t="s">
        <v>17</v>
      </c>
      <c r="O11" s="3">
        <v>35952</v>
      </c>
      <c r="P11" s="3">
        <v>45238</v>
      </c>
      <c r="Q11" s="1" t="s">
        <v>14</v>
      </c>
      <c r="R11" s="7">
        <v>25.44109589041096</v>
      </c>
      <c r="S11" t="s">
        <v>14</v>
      </c>
      <c r="T11" t="s">
        <v>14</v>
      </c>
      <c r="U11" t="s">
        <v>21</v>
      </c>
    </row>
    <row r="12" spans="1:21" hidden="1" x14ac:dyDescent="0.25">
      <c r="A12" t="s">
        <v>30</v>
      </c>
      <c r="B12">
        <v>34.433106000000002</v>
      </c>
      <c r="C12">
        <v>-97.026622000000003</v>
      </c>
      <c r="D12" t="s">
        <v>209</v>
      </c>
      <c r="E12" t="s">
        <v>240</v>
      </c>
      <c r="F12" t="s">
        <v>11</v>
      </c>
      <c r="G12" t="s">
        <v>223</v>
      </c>
      <c r="H12">
        <v>0</v>
      </c>
      <c r="I12" t="s">
        <v>15</v>
      </c>
      <c r="J12" t="s">
        <v>14</v>
      </c>
      <c r="K12" t="s">
        <v>15</v>
      </c>
      <c r="L12">
        <v>36</v>
      </c>
      <c r="M12" t="s">
        <v>16</v>
      </c>
      <c r="N12" t="s">
        <v>33</v>
      </c>
      <c r="O12" s="3">
        <v>36480</v>
      </c>
      <c r="P12" s="3">
        <v>45048</v>
      </c>
      <c r="Q12" s="1" t="s">
        <v>14</v>
      </c>
      <c r="R12" s="7">
        <v>23.473972602739725</v>
      </c>
      <c r="S12" t="s">
        <v>14</v>
      </c>
      <c r="T12" t="s">
        <v>14</v>
      </c>
      <c r="U12" t="s">
        <v>24</v>
      </c>
    </row>
    <row r="13" spans="1:21" hidden="1" x14ac:dyDescent="0.25">
      <c r="A13" t="s">
        <v>30</v>
      </c>
      <c r="B13">
        <v>34.433106000000002</v>
      </c>
      <c r="C13">
        <v>-97.026622000000003</v>
      </c>
      <c r="D13" t="s">
        <v>209</v>
      </c>
      <c r="E13" t="s">
        <v>240</v>
      </c>
      <c r="F13" t="s">
        <v>11</v>
      </c>
      <c r="G13" t="s">
        <v>226</v>
      </c>
      <c r="H13">
        <v>-1</v>
      </c>
      <c r="I13" t="s">
        <v>29</v>
      </c>
      <c r="J13" s="4" t="s">
        <v>28</v>
      </c>
      <c r="K13">
        <v>-0.12590000000000001</v>
      </c>
      <c r="L13">
        <v>26</v>
      </c>
      <c r="M13" t="s">
        <v>17</v>
      </c>
      <c r="N13" t="s">
        <v>17</v>
      </c>
      <c r="O13" s="3">
        <v>38300</v>
      </c>
      <c r="P13" s="3">
        <v>45082</v>
      </c>
      <c r="Q13" s="1">
        <v>-0.37132150467492936</v>
      </c>
      <c r="R13" s="7">
        <v>18.580821917808219</v>
      </c>
      <c r="S13">
        <v>6.3</v>
      </c>
      <c r="T13" s="2">
        <v>3.9606745205479448</v>
      </c>
      <c r="U13" t="s">
        <v>27</v>
      </c>
    </row>
    <row r="14" spans="1:21" hidden="1" x14ac:dyDescent="0.25">
      <c r="A14" t="s">
        <v>35</v>
      </c>
      <c r="B14">
        <v>35.648940000000003</v>
      </c>
      <c r="C14">
        <v>-97.364239999999995</v>
      </c>
      <c r="D14" t="s">
        <v>242</v>
      </c>
      <c r="E14" t="s">
        <v>240</v>
      </c>
      <c r="F14" t="s">
        <v>11</v>
      </c>
      <c r="G14" t="s">
        <v>221</v>
      </c>
      <c r="H14">
        <v>0</v>
      </c>
      <c r="I14" t="s">
        <v>15</v>
      </c>
      <c r="J14" s="4" t="s">
        <v>14</v>
      </c>
      <c r="K14" t="s">
        <v>15</v>
      </c>
      <c r="L14">
        <v>77</v>
      </c>
      <c r="M14" t="s">
        <v>33</v>
      </c>
      <c r="N14" t="s">
        <v>17</v>
      </c>
      <c r="O14" s="3">
        <v>37783</v>
      </c>
      <c r="P14" s="3">
        <v>44886</v>
      </c>
      <c r="Q14" s="1" t="s">
        <v>14</v>
      </c>
      <c r="R14" s="7">
        <v>19.460273972602739</v>
      </c>
      <c r="S14" t="s">
        <v>14</v>
      </c>
      <c r="T14" t="s">
        <v>14</v>
      </c>
      <c r="U14" t="s">
        <v>13</v>
      </c>
    </row>
    <row r="15" spans="1:21" hidden="1" x14ac:dyDescent="0.25">
      <c r="A15" t="s">
        <v>35</v>
      </c>
      <c r="B15">
        <v>35.648940000000003</v>
      </c>
      <c r="C15">
        <v>-97.364239999999995</v>
      </c>
      <c r="D15" t="s">
        <v>242</v>
      </c>
      <c r="E15" t="s">
        <v>240</v>
      </c>
      <c r="F15" t="s">
        <v>11</v>
      </c>
      <c r="G15" t="s">
        <v>222</v>
      </c>
      <c r="H15">
        <v>3</v>
      </c>
      <c r="I15" t="s">
        <v>23</v>
      </c>
      <c r="J15" s="4" t="s">
        <v>22</v>
      </c>
      <c r="K15">
        <v>8.8669999999999999E-3</v>
      </c>
      <c r="L15">
        <v>83</v>
      </c>
      <c r="M15" t="s">
        <v>16</v>
      </c>
      <c r="N15" t="s">
        <v>17</v>
      </c>
      <c r="O15" s="3">
        <v>36446</v>
      </c>
      <c r="P15" s="3">
        <v>44886</v>
      </c>
      <c r="Q15" s="1">
        <v>0.2412166962127317</v>
      </c>
      <c r="R15" s="7">
        <v>23.123287671232877</v>
      </c>
      <c r="S15">
        <v>0.85</v>
      </c>
      <c r="T15" s="2">
        <v>1.0550341917808219</v>
      </c>
      <c r="U15" t="s">
        <v>24</v>
      </c>
    </row>
    <row r="16" spans="1:21" hidden="1" x14ac:dyDescent="0.25">
      <c r="A16" t="s">
        <v>35</v>
      </c>
      <c r="B16">
        <v>35.648940000000003</v>
      </c>
      <c r="C16">
        <v>-97.364239999999995</v>
      </c>
      <c r="D16" t="s">
        <v>242</v>
      </c>
      <c r="E16" t="s">
        <v>240</v>
      </c>
      <c r="F16" t="s">
        <v>11</v>
      </c>
      <c r="G16" t="s">
        <v>224</v>
      </c>
      <c r="H16">
        <v>-2</v>
      </c>
      <c r="I16" t="s">
        <v>29</v>
      </c>
      <c r="J16" s="4" t="s">
        <v>34</v>
      </c>
      <c r="K16">
        <v>-1.244</v>
      </c>
      <c r="L16">
        <v>74</v>
      </c>
      <c r="M16" t="s">
        <v>17</v>
      </c>
      <c r="N16" t="s">
        <v>17</v>
      </c>
      <c r="O16" s="3">
        <v>38420</v>
      </c>
      <c r="P16" s="3">
        <v>44886</v>
      </c>
      <c r="Q16" s="1">
        <v>-0.33903915700737619</v>
      </c>
      <c r="R16" s="7">
        <v>17.715068493150685</v>
      </c>
      <c r="S16">
        <v>65</v>
      </c>
      <c r="T16" s="2">
        <v>42.962454794520546</v>
      </c>
      <c r="U16" t="s">
        <v>19</v>
      </c>
    </row>
    <row r="17" spans="1:21" hidden="1" x14ac:dyDescent="0.25">
      <c r="A17" t="s">
        <v>35</v>
      </c>
      <c r="B17">
        <v>35.648940000000003</v>
      </c>
      <c r="C17">
        <v>-97.364239999999995</v>
      </c>
      <c r="D17" t="s">
        <v>242</v>
      </c>
      <c r="E17" t="s">
        <v>240</v>
      </c>
      <c r="F17" t="s">
        <v>11</v>
      </c>
      <c r="G17" t="s">
        <v>225</v>
      </c>
      <c r="H17">
        <v>3</v>
      </c>
      <c r="I17" t="s">
        <v>23</v>
      </c>
      <c r="J17" t="s">
        <v>22</v>
      </c>
      <c r="K17" s="2">
        <v>1.59</v>
      </c>
      <c r="L17">
        <v>82</v>
      </c>
      <c r="M17" t="s">
        <v>17</v>
      </c>
      <c r="N17" t="s">
        <v>17</v>
      </c>
      <c r="O17" s="3">
        <v>36446</v>
      </c>
      <c r="P17" s="3">
        <v>44877</v>
      </c>
      <c r="Q17" s="1">
        <v>9.4171338250790396E-2</v>
      </c>
      <c r="R17" s="7">
        <v>23.098630136986301</v>
      </c>
      <c r="S17">
        <v>390</v>
      </c>
      <c r="T17" s="2">
        <v>426.72682191780825</v>
      </c>
      <c r="U17" t="s">
        <v>21</v>
      </c>
    </row>
    <row r="18" spans="1:21" hidden="1" x14ac:dyDescent="0.25">
      <c r="A18" t="s">
        <v>35</v>
      </c>
      <c r="B18">
        <v>35.648940000000003</v>
      </c>
      <c r="C18">
        <v>-97.364239999999995</v>
      </c>
      <c r="D18" t="s">
        <v>242</v>
      </c>
      <c r="E18" t="s">
        <v>240</v>
      </c>
      <c r="F18" t="s">
        <v>11</v>
      </c>
      <c r="G18" t="s">
        <v>223</v>
      </c>
      <c r="H18">
        <v>3</v>
      </c>
      <c r="I18" t="s">
        <v>23</v>
      </c>
      <c r="J18" s="4" t="s">
        <v>22</v>
      </c>
      <c r="K18">
        <v>8.4020000000000004E-4</v>
      </c>
      <c r="L18">
        <v>83</v>
      </c>
      <c r="M18" t="s">
        <v>17</v>
      </c>
      <c r="N18" t="s">
        <v>17</v>
      </c>
      <c r="O18" s="3">
        <v>36446</v>
      </c>
      <c r="P18" s="3">
        <v>44886</v>
      </c>
      <c r="Q18" s="1">
        <v>0.27754551859099796</v>
      </c>
      <c r="R18" s="7">
        <v>23.123287671232877</v>
      </c>
      <c r="S18">
        <v>7.0000000000000007E-2</v>
      </c>
      <c r="T18" s="2">
        <v>8.9428186301369866E-2</v>
      </c>
      <c r="U18" t="s">
        <v>24</v>
      </c>
    </row>
    <row r="19" spans="1:21" hidden="1" x14ac:dyDescent="0.25">
      <c r="A19" t="s">
        <v>35</v>
      </c>
      <c r="B19">
        <v>35.648940000000003</v>
      </c>
      <c r="C19">
        <v>-97.364239999999995</v>
      </c>
      <c r="D19" t="s">
        <v>242</v>
      </c>
      <c r="E19" t="s">
        <v>240</v>
      </c>
      <c r="F19" t="s">
        <v>11</v>
      </c>
      <c r="G19" t="s">
        <v>226</v>
      </c>
      <c r="H19">
        <v>0</v>
      </c>
      <c r="I19" t="s">
        <v>15</v>
      </c>
      <c r="J19" t="s">
        <v>14</v>
      </c>
      <c r="K19" t="s">
        <v>15</v>
      </c>
      <c r="L19">
        <v>78</v>
      </c>
      <c r="M19" t="s">
        <v>16</v>
      </c>
      <c r="N19" t="s">
        <v>16</v>
      </c>
      <c r="O19" s="3">
        <v>38239</v>
      </c>
      <c r="P19" s="3">
        <v>44886</v>
      </c>
      <c r="Q19" s="1" t="s">
        <v>14</v>
      </c>
      <c r="R19" s="7">
        <v>18.210958904109589</v>
      </c>
      <c r="S19" t="s">
        <v>14</v>
      </c>
      <c r="T19" t="s">
        <v>14</v>
      </c>
      <c r="U19" t="s">
        <v>27</v>
      </c>
    </row>
    <row r="20" spans="1:21" hidden="1" x14ac:dyDescent="0.25">
      <c r="A20" t="s">
        <v>36</v>
      </c>
      <c r="B20">
        <v>34.446235999999999</v>
      </c>
      <c r="C20">
        <v>-96.087171999999995</v>
      </c>
      <c r="D20" t="s">
        <v>36</v>
      </c>
      <c r="E20" t="s">
        <v>240</v>
      </c>
      <c r="F20" t="s">
        <v>11</v>
      </c>
      <c r="G20" t="s">
        <v>221</v>
      </c>
      <c r="H20">
        <v>-2</v>
      </c>
      <c r="I20" t="s">
        <v>29</v>
      </c>
      <c r="J20" t="s">
        <v>34</v>
      </c>
      <c r="K20">
        <v>-0.28189999999999998</v>
      </c>
      <c r="L20">
        <v>32</v>
      </c>
      <c r="M20" t="s">
        <v>33</v>
      </c>
      <c r="N20" t="s">
        <v>17</v>
      </c>
      <c r="O20" s="3">
        <v>37474</v>
      </c>
      <c r="P20" s="3">
        <v>44873</v>
      </c>
      <c r="Q20" s="1">
        <v>-0.5714460547945206</v>
      </c>
      <c r="R20" s="7">
        <v>20.271232876712329</v>
      </c>
      <c r="S20">
        <v>10</v>
      </c>
      <c r="T20" s="2">
        <v>4.2855394520547945</v>
      </c>
      <c r="U20" t="s">
        <v>13</v>
      </c>
    </row>
    <row r="21" spans="1:21" hidden="1" x14ac:dyDescent="0.25">
      <c r="A21" t="s">
        <v>36</v>
      </c>
      <c r="B21">
        <v>34.446235999999999</v>
      </c>
      <c r="C21">
        <v>-96.087171999999995</v>
      </c>
      <c r="D21" t="s">
        <v>36</v>
      </c>
      <c r="E21" t="s">
        <v>240</v>
      </c>
      <c r="F21" t="s">
        <v>11</v>
      </c>
      <c r="G21" t="s">
        <v>222</v>
      </c>
      <c r="H21">
        <v>0</v>
      </c>
      <c r="I21" t="s">
        <v>15</v>
      </c>
      <c r="J21" s="4" t="s">
        <v>14</v>
      </c>
      <c r="K21" t="s">
        <v>15</v>
      </c>
      <c r="L21">
        <v>44</v>
      </c>
      <c r="M21" t="s">
        <v>17</v>
      </c>
      <c r="N21" t="s">
        <v>17</v>
      </c>
      <c r="O21" s="3">
        <v>37200</v>
      </c>
      <c r="P21" s="3">
        <v>44949</v>
      </c>
      <c r="Q21" s="1" t="s">
        <v>14</v>
      </c>
      <c r="R21" s="7">
        <v>21.230136986301371</v>
      </c>
      <c r="S21" t="s">
        <v>14</v>
      </c>
      <c r="T21" t="s">
        <v>14</v>
      </c>
      <c r="U21" t="s">
        <v>24</v>
      </c>
    </row>
    <row r="22" spans="1:21" hidden="1" x14ac:dyDescent="0.25">
      <c r="A22" t="s">
        <v>36</v>
      </c>
      <c r="B22">
        <v>34.446235999999999</v>
      </c>
      <c r="C22">
        <v>-96.087171999999995</v>
      </c>
      <c r="D22" t="s">
        <v>36</v>
      </c>
      <c r="E22" t="s">
        <v>240</v>
      </c>
      <c r="F22" t="s">
        <v>11</v>
      </c>
      <c r="G22" t="s">
        <v>224</v>
      </c>
      <c r="H22">
        <v>0</v>
      </c>
      <c r="I22" t="s">
        <v>15</v>
      </c>
      <c r="J22" t="s">
        <v>14</v>
      </c>
      <c r="K22" t="s">
        <v>15</v>
      </c>
      <c r="L22">
        <v>20</v>
      </c>
      <c r="M22" t="s">
        <v>17</v>
      </c>
      <c r="N22" t="s">
        <v>17</v>
      </c>
      <c r="O22" s="3">
        <v>38328</v>
      </c>
      <c r="P22" s="3">
        <v>44873</v>
      </c>
      <c r="Q22" s="1" t="s">
        <v>14</v>
      </c>
      <c r="R22" s="7">
        <v>17.931506849315067</v>
      </c>
      <c r="S22" t="s">
        <v>14</v>
      </c>
      <c r="T22" t="s">
        <v>14</v>
      </c>
      <c r="U22" t="s">
        <v>19</v>
      </c>
    </row>
    <row r="23" spans="1:21" hidden="1" x14ac:dyDescent="0.25">
      <c r="A23" t="s">
        <v>36</v>
      </c>
      <c r="B23">
        <v>34.446235999999999</v>
      </c>
      <c r="C23">
        <v>-96.087171999999995</v>
      </c>
      <c r="D23" t="s">
        <v>36</v>
      </c>
      <c r="E23" t="s">
        <v>240</v>
      </c>
      <c r="F23" t="s">
        <v>11</v>
      </c>
      <c r="G23" t="s">
        <v>225</v>
      </c>
      <c r="H23">
        <v>3</v>
      </c>
      <c r="I23" t="s">
        <v>23</v>
      </c>
      <c r="J23" t="s">
        <v>22</v>
      </c>
      <c r="K23" s="2">
        <v>1.8080000000000001</v>
      </c>
      <c r="L23">
        <v>41</v>
      </c>
      <c r="M23" t="s">
        <v>16</v>
      </c>
      <c r="N23" t="s">
        <v>31</v>
      </c>
      <c r="O23" s="3">
        <v>35648</v>
      </c>
      <c r="P23" s="3">
        <v>44988</v>
      </c>
      <c r="Q23" s="1">
        <v>0.71176902002107501</v>
      </c>
      <c r="R23" s="7">
        <v>25.589041095890412</v>
      </c>
      <c r="S23">
        <v>65</v>
      </c>
      <c r="T23" s="2">
        <v>111.26498630136987</v>
      </c>
      <c r="U23" t="s">
        <v>21</v>
      </c>
    </row>
    <row r="24" spans="1:21" hidden="1" x14ac:dyDescent="0.25">
      <c r="A24" t="s">
        <v>36</v>
      </c>
      <c r="B24">
        <v>34.446235999999999</v>
      </c>
      <c r="C24">
        <v>-96.087171999999995</v>
      </c>
      <c r="D24" t="s">
        <v>36</v>
      </c>
      <c r="E24" t="s">
        <v>240</v>
      </c>
      <c r="F24" t="s">
        <v>11</v>
      </c>
      <c r="G24" t="s">
        <v>223</v>
      </c>
      <c r="H24">
        <v>-2</v>
      </c>
      <c r="I24" t="s">
        <v>29</v>
      </c>
      <c r="J24" s="4" t="s">
        <v>34</v>
      </c>
      <c r="K24">
        <v>-1.1169999999999999E-3</v>
      </c>
      <c r="L24">
        <v>38</v>
      </c>
      <c r="M24" t="s">
        <v>17</v>
      </c>
      <c r="N24" t="s">
        <v>17</v>
      </c>
      <c r="O24" s="3">
        <v>37201</v>
      </c>
      <c r="P24" s="3">
        <v>44873</v>
      </c>
      <c r="Q24" s="1">
        <v>-0.29348027397260273</v>
      </c>
      <c r="R24" s="7">
        <v>21.019178082191782</v>
      </c>
      <c r="S24">
        <v>0.08</v>
      </c>
      <c r="T24" s="2">
        <v>5.6521578082191784E-2</v>
      </c>
      <c r="U24" t="s">
        <v>24</v>
      </c>
    </row>
    <row r="25" spans="1:21" hidden="1" x14ac:dyDescent="0.25">
      <c r="A25" t="s">
        <v>36</v>
      </c>
      <c r="B25">
        <v>34.446235999999999</v>
      </c>
      <c r="C25">
        <v>-96.087171999999995</v>
      </c>
      <c r="D25" t="s">
        <v>36</v>
      </c>
      <c r="E25" t="s">
        <v>240</v>
      </c>
      <c r="F25" t="s">
        <v>11</v>
      </c>
      <c r="G25" t="s">
        <v>226</v>
      </c>
      <c r="H25">
        <v>0</v>
      </c>
      <c r="I25" t="s">
        <v>15</v>
      </c>
      <c r="J25" t="s">
        <v>14</v>
      </c>
      <c r="K25" t="s">
        <v>15</v>
      </c>
      <c r="L25">
        <v>24</v>
      </c>
      <c r="M25" t="s">
        <v>17</v>
      </c>
      <c r="N25" t="s">
        <v>17</v>
      </c>
      <c r="O25" s="3">
        <v>38328</v>
      </c>
      <c r="P25" s="3">
        <v>44873</v>
      </c>
      <c r="Q25" s="1" t="s">
        <v>14</v>
      </c>
      <c r="R25" s="7">
        <v>17.931506849315067</v>
      </c>
      <c r="S25" t="s">
        <v>14</v>
      </c>
      <c r="T25" t="s">
        <v>14</v>
      </c>
      <c r="U25" t="s">
        <v>27</v>
      </c>
    </row>
    <row r="26" spans="1:21" hidden="1" x14ac:dyDescent="0.25">
      <c r="A26" t="s">
        <v>37</v>
      </c>
      <c r="B26">
        <v>35.731678000000002</v>
      </c>
      <c r="C26">
        <v>-96.918081000000001</v>
      </c>
      <c r="D26" t="s">
        <v>243</v>
      </c>
      <c r="E26" t="s">
        <v>240</v>
      </c>
      <c r="F26" t="s">
        <v>11</v>
      </c>
      <c r="G26" t="s">
        <v>221</v>
      </c>
      <c r="H26">
        <v>3</v>
      </c>
      <c r="I26" t="s">
        <v>23</v>
      </c>
      <c r="J26" s="4" t="s">
        <v>22</v>
      </c>
      <c r="K26">
        <v>0.45490000000000003</v>
      </c>
      <c r="L26">
        <v>35</v>
      </c>
      <c r="M26" t="s">
        <v>17</v>
      </c>
      <c r="N26" t="s">
        <v>17</v>
      </c>
      <c r="O26" s="3">
        <v>37315</v>
      </c>
      <c r="P26" s="3">
        <v>44911</v>
      </c>
      <c r="Q26" s="1">
        <v>1.0518783561643836</v>
      </c>
      <c r="R26" s="7">
        <v>20.81095890410959</v>
      </c>
      <c r="S26">
        <v>9</v>
      </c>
      <c r="T26" s="2">
        <v>18.466905205479453</v>
      </c>
      <c r="U26" t="s">
        <v>13</v>
      </c>
    </row>
    <row r="27" spans="1:21" hidden="1" x14ac:dyDescent="0.25">
      <c r="A27" t="s">
        <v>37</v>
      </c>
      <c r="B27">
        <v>35.731678000000002</v>
      </c>
      <c r="C27">
        <v>-96.918081000000001</v>
      </c>
      <c r="D27" t="s">
        <v>243</v>
      </c>
      <c r="E27" t="s">
        <v>240</v>
      </c>
      <c r="F27" t="s">
        <v>11</v>
      </c>
      <c r="G27" t="s">
        <v>222</v>
      </c>
      <c r="H27">
        <v>1</v>
      </c>
      <c r="I27" t="s">
        <v>23</v>
      </c>
      <c r="J27" s="5" t="s">
        <v>40</v>
      </c>
      <c r="K27">
        <v>5.6690000000000004E-3</v>
      </c>
      <c r="L27">
        <v>35</v>
      </c>
      <c r="M27" t="s">
        <v>17</v>
      </c>
      <c r="N27" t="s">
        <v>16</v>
      </c>
      <c r="O27" s="3">
        <v>37228</v>
      </c>
      <c r="P27" s="3">
        <v>44874</v>
      </c>
      <c r="Q27" s="1">
        <v>0.13194877929984775</v>
      </c>
      <c r="R27" s="7">
        <v>20.947945205479453</v>
      </c>
      <c r="S27">
        <v>0.9</v>
      </c>
      <c r="T27" s="2">
        <v>1.018753901369863</v>
      </c>
      <c r="U27" t="s">
        <v>24</v>
      </c>
    </row>
    <row r="28" spans="1:21" hidden="1" x14ac:dyDescent="0.25">
      <c r="A28" t="s">
        <v>37</v>
      </c>
      <c r="B28">
        <v>35.731678000000002</v>
      </c>
      <c r="C28">
        <v>-96.918081000000001</v>
      </c>
      <c r="D28" t="s">
        <v>243</v>
      </c>
      <c r="E28" t="s">
        <v>240</v>
      </c>
      <c r="F28" t="s">
        <v>11</v>
      </c>
      <c r="G28" t="s">
        <v>224</v>
      </c>
      <c r="H28">
        <v>3</v>
      </c>
      <c r="I28" t="s">
        <v>23</v>
      </c>
      <c r="J28" s="4" t="s">
        <v>22</v>
      </c>
      <c r="K28">
        <v>2.0739999999999998</v>
      </c>
      <c r="L28">
        <v>26</v>
      </c>
      <c r="M28" t="s">
        <v>31</v>
      </c>
      <c r="N28" t="s">
        <v>16</v>
      </c>
      <c r="O28" s="3">
        <v>40149</v>
      </c>
      <c r="P28" s="3">
        <v>44874</v>
      </c>
      <c r="Q28" s="1">
        <v>0.67970521935148254</v>
      </c>
      <c r="R28" s="7">
        <v>12.945205479452055</v>
      </c>
      <c r="S28">
        <v>39.5</v>
      </c>
      <c r="T28" s="2">
        <v>66.34835616438356</v>
      </c>
      <c r="U28" t="s">
        <v>19</v>
      </c>
    </row>
    <row r="29" spans="1:21" hidden="1" x14ac:dyDescent="0.25">
      <c r="A29" t="s">
        <v>37</v>
      </c>
      <c r="B29">
        <v>35.731678000000002</v>
      </c>
      <c r="C29">
        <v>-96.918081000000001</v>
      </c>
      <c r="D29" t="s">
        <v>243</v>
      </c>
      <c r="E29" t="s">
        <v>240</v>
      </c>
      <c r="F29" t="s">
        <v>11</v>
      </c>
      <c r="G29" t="s">
        <v>225</v>
      </c>
      <c r="H29">
        <v>0</v>
      </c>
      <c r="I29" t="s">
        <v>15</v>
      </c>
      <c r="J29" t="s">
        <v>14</v>
      </c>
      <c r="K29" s="2" t="s">
        <v>15</v>
      </c>
      <c r="L29">
        <v>34</v>
      </c>
      <c r="M29" t="s">
        <v>31</v>
      </c>
      <c r="N29" t="s">
        <v>16</v>
      </c>
      <c r="O29" s="3">
        <v>37228</v>
      </c>
      <c r="P29" s="3">
        <v>44950</v>
      </c>
      <c r="Q29" s="1" t="s">
        <v>14</v>
      </c>
      <c r="R29" s="7">
        <v>21.156164383561645</v>
      </c>
      <c r="S29" t="s">
        <v>14</v>
      </c>
      <c r="T29" t="s">
        <v>14</v>
      </c>
      <c r="U29" t="s">
        <v>21</v>
      </c>
    </row>
    <row r="30" spans="1:21" hidden="1" x14ac:dyDescent="0.25">
      <c r="A30" t="s">
        <v>37</v>
      </c>
      <c r="B30">
        <v>35.731678000000002</v>
      </c>
      <c r="C30">
        <v>-96.918081000000001</v>
      </c>
      <c r="D30" t="s">
        <v>243</v>
      </c>
      <c r="E30" t="s">
        <v>240</v>
      </c>
      <c r="F30" t="s">
        <v>11</v>
      </c>
      <c r="G30" t="s">
        <v>223</v>
      </c>
      <c r="H30">
        <v>0</v>
      </c>
      <c r="I30" t="s">
        <v>15</v>
      </c>
      <c r="J30" t="s">
        <v>14</v>
      </c>
      <c r="K30" t="s">
        <v>15</v>
      </c>
      <c r="L30">
        <v>35</v>
      </c>
      <c r="M30" t="s">
        <v>17</v>
      </c>
      <c r="N30" t="s">
        <v>16</v>
      </c>
      <c r="O30" s="3">
        <v>37228</v>
      </c>
      <c r="P30" s="3">
        <v>44874</v>
      </c>
      <c r="Q30" s="1" t="s">
        <v>14</v>
      </c>
      <c r="R30" s="7">
        <v>20.947945205479453</v>
      </c>
      <c r="S30" t="s">
        <v>14</v>
      </c>
      <c r="T30" t="s">
        <v>14</v>
      </c>
      <c r="U30" t="s">
        <v>24</v>
      </c>
    </row>
    <row r="31" spans="1:21" hidden="1" x14ac:dyDescent="0.25">
      <c r="A31" t="s">
        <v>37</v>
      </c>
      <c r="B31">
        <v>35.731678000000002</v>
      </c>
      <c r="C31">
        <v>-96.918081000000001</v>
      </c>
      <c r="D31" t="s">
        <v>243</v>
      </c>
      <c r="E31" t="s">
        <v>240</v>
      </c>
      <c r="F31" t="s">
        <v>11</v>
      </c>
      <c r="G31" t="s">
        <v>226</v>
      </c>
      <c r="H31">
        <v>-2</v>
      </c>
      <c r="I31" t="s">
        <v>29</v>
      </c>
      <c r="J31" s="4" t="s">
        <v>34</v>
      </c>
      <c r="K31">
        <v>-0.61719999999999997</v>
      </c>
      <c r="L31">
        <v>26</v>
      </c>
      <c r="M31" t="s">
        <v>17</v>
      </c>
      <c r="N31" t="s">
        <v>16</v>
      </c>
      <c r="O31" s="3">
        <v>40149</v>
      </c>
      <c r="P31" s="3">
        <v>44897</v>
      </c>
      <c r="Q31" s="1">
        <v>-0.3916425793518209</v>
      </c>
      <c r="R31" s="7">
        <v>13.008219178082191</v>
      </c>
      <c r="S31">
        <v>20.5</v>
      </c>
      <c r="T31" s="2">
        <v>12.471327123287672</v>
      </c>
      <c r="U31" t="s">
        <v>27</v>
      </c>
    </row>
    <row r="32" spans="1:21" hidden="1" x14ac:dyDescent="0.25">
      <c r="A32" t="s">
        <v>39</v>
      </c>
      <c r="B32">
        <v>36.533092000000003</v>
      </c>
      <c r="C32">
        <v>-96.163585999999995</v>
      </c>
      <c r="D32" t="s">
        <v>244</v>
      </c>
      <c r="E32" t="s">
        <v>240</v>
      </c>
      <c r="F32" t="s">
        <v>11</v>
      </c>
      <c r="G32" t="s">
        <v>221</v>
      </c>
      <c r="H32">
        <v>0</v>
      </c>
      <c r="I32" t="s">
        <v>15</v>
      </c>
      <c r="J32" t="s">
        <v>14</v>
      </c>
      <c r="K32" t="s">
        <v>15</v>
      </c>
      <c r="L32">
        <v>30</v>
      </c>
      <c r="M32" t="s">
        <v>16</v>
      </c>
      <c r="N32" t="s">
        <v>31</v>
      </c>
      <c r="O32" s="3">
        <v>37781</v>
      </c>
      <c r="P32" s="3">
        <v>44466</v>
      </c>
      <c r="Q32" s="1" t="s">
        <v>14</v>
      </c>
      <c r="R32" s="7">
        <v>18.315068493150687</v>
      </c>
      <c r="S32" t="s">
        <v>14</v>
      </c>
      <c r="T32" t="s">
        <v>14</v>
      </c>
      <c r="U32" t="s">
        <v>13</v>
      </c>
    </row>
    <row r="33" spans="1:21" hidden="1" x14ac:dyDescent="0.25">
      <c r="A33" t="s">
        <v>39</v>
      </c>
      <c r="B33">
        <v>36.533092000000003</v>
      </c>
      <c r="C33">
        <v>-96.163585999999995</v>
      </c>
      <c r="D33" t="s">
        <v>244</v>
      </c>
      <c r="E33" t="s">
        <v>240</v>
      </c>
      <c r="F33" t="s">
        <v>11</v>
      </c>
      <c r="G33" t="s">
        <v>222</v>
      </c>
      <c r="H33">
        <v>3</v>
      </c>
      <c r="I33" t="s">
        <v>23</v>
      </c>
      <c r="J33" s="4" t="s">
        <v>22</v>
      </c>
      <c r="K33">
        <v>8.0590000000000002E-3</v>
      </c>
      <c r="L33">
        <v>36</v>
      </c>
      <c r="M33" t="s">
        <v>31</v>
      </c>
      <c r="N33" t="s">
        <v>17</v>
      </c>
      <c r="O33" s="3">
        <v>36452</v>
      </c>
      <c r="P33" s="3">
        <v>44506</v>
      </c>
      <c r="Q33" s="1">
        <v>0.29637984474885842</v>
      </c>
      <c r="R33" s="7">
        <v>22.065753424657533</v>
      </c>
      <c r="S33">
        <v>0.6</v>
      </c>
      <c r="T33" s="2">
        <v>0.77782790684931502</v>
      </c>
      <c r="U33" t="s">
        <v>24</v>
      </c>
    </row>
    <row r="34" spans="1:21" hidden="1" x14ac:dyDescent="0.25">
      <c r="A34" t="s">
        <v>39</v>
      </c>
      <c r="B34">
        <v>36.533092000000003</v>
      </c>
      <c r="C34">
        <v>-96.163585999999995</v>
      </c>
      <c r="D34" t="s">
        <v>244</v>
      </c>
      <c r="E34" t="s">
        <v>240</v>
      </c>
      <c r="F34" t="s">
        <v>11</v>
      </c>
      <c r="G34" t="s">
        <v>224</v>
      </c>
      <c r="H34">
        <v>0</v>
      </c>
      <c r="I34" t="s">
        <v>15</v>
      </c>
      <c r="J34" t="s">
        <v>14</v>
      </c>
      <c r="K34" t="s">
        <v>15</v>
      </c>
      <c r="L34">
        <v>21</v>
      </c>
      <c r="M34" t="s">
        <v>16</v>
      </c>
      <c r="N34" t="s">
        <v>17</v>
      </c>
      <c r="O34" s="3">
        <v>39315</v>
      </c>
      <c r="P34" s="3">
        <v>44466</v>
      </c>
      <c r="Q34" s="1" t="s">
        <v>14</v>
      </c>
      <c r="R34" s="7">
        <v>14.112328767123287</v>
      </c>
      <c r="S34" t="s">
        <v>14</v>
      </c>
      <c r="T34" t="s">
        <v>14</v>
      </c>
      <c r="U34" t="s">
        <v>19</v>
      </c>
    </row>
    <row r="35" spans="1:21" hidden="1" x14ac:dyDescent="0.25">
      <c r="A35" t="s">
        <v>39</v>
      </c>
      <c r="B35">
        <v>36.533092000000003</v>
      </c>
      <c r="C35">
        <v>-96.163585999999995</v>
      </c>
      <c r="D35" t="s">
        <v>244</v>
      </c>
      <c r="E35" t="s">
        <v>240</v>
      </c>
      <c r="F35" t="s">
        <v>11</v>
      </c>
      <c r="G35" t="s">
        <v>225</v>
      </c>
      <c r="H35">
        <v>2</v>
      </c>
      <c r="I35" t="s">
        <v>23</v>
      </c>
      <c r="J35" t="s">
        <v>38</v>
      </c>
      <c r="K35" s="2">
        <v>1.72</v>
      </c>
      <c r="L35">
        <v>38</v>
      </c>
      <c r="M35" t="s">
        <v>16</v>
      </c>
      <c r="N35" t="s">
        <v>16</v>
      </c>
      <c r="O35" s="3">
        <v>36452</v>
      </c>
      <c r="P35" s="3">
        <v>44506</v>
      </c>
      <c r="Q35" s="1">
        <v>0.27109354207436404</v>
      </c>
      <c r="R35" s="7">
        <v>22.065753424657533</v>
      </c>
      <c r="S35">
        <v>140</v>
      </c>
      <c r="T35" s="2">
        <v>177.95309589041096</v>
      </c>
      <c r="U35" t="s">
        <v>21</v>
      </c>
    </row>
    <row r="36" spans="1:21" hidden="1" x14ac:dyDescent="0.25">
      <c r="A36" t="s">
        <v>39</v>
      </c>
      <c r="B36">
        <v>36.533092000000003</v>
      </c>
      <c r="C36">
        <v>-96.163585999999995</v>
      </c>
      <c r="D36" t="s">
        <v>244</v>
      </c>
      <c r="E36" t="s">
        <v>240</v>
      </c>
      <c r="F36" t="s">
        <v>11</v>
      </c>
      <c r="G36" t="s">
        <v>223</v>
      </c>
      <c r="H36">
        <v>0</v>
      </c>
      <c r="I36" t="s">
        <v>15</v>
      </c>
      <c r="J36" t="s">
        <v>14</v>
      </c>
      <c r="K36" t="s">
        <v>15</v>
      </c>
      <c r="L36">
        <v>36</v>
      </c>
      <c r="M36" t="s">
        <v>31</v>
      </c>
      <c r="N36" t="s">
        <v>17</v>
      </c>
      <c r="O36" s="3">
        <v>36452</v>
      </c>
      <c r="P36" s="3">
        <v>37158</v>
      </c>
      <c r="Q36" s="1" t="s">
        <v>14</v>
      </c>
      <c r="R36" s="7">
        <v>1.9342465753424658</v>
      </c>
      <c r="S36" t="s">
        <v>14</v>
      </c>
      <c r="T36" t="s">
        <v>14</v>
      </c>
      <c r="U36" t="s">
        <v>24</v>
      </c>
    </row>
    <row r="37" spans="1:21" hidden="1" x14ac:dyDescent="0.25">
      <c r="A37" t="s">
        <v>39</v>
      </c>
      <c r="B37">
        <v>36.533092000000003</v>
      </c>
      <c r="C37">
        <v>-96.163585999999995</v>
      </c>
      <c r="D37" t="s">
        <v>244</v>
      </c>
      <c r="E37" t="s">
        <v>240</v>
      </c>
      <c r="F37" t="s">
        <v>11</v>
      </c>
      <c r="G37" t="s">
        <v>226</v>
      </c>
      <c r="H37">
        <v>0</v>
      </c>
      <c r="I37" t="s">
        <v>15</v>
      </c>
      <c r="J37" t="s">
        <v>14</v>
      </c>
      <c r="K37" t="s">
        <v>15</v>
      </c>
      <c r="L37">
        <v>28</v>
      </c>
      <c r="M37" t="s">
        <v>16</v>
      </c>
      <c r="N37" t="s">
        <v>17</v>
      </c>
      <c r="O37" s="3">
        <v>38250</v>
      </c>
      <c r="P37" s="3">
        <v>44466</v>
      </c>
      <c r="Q37" s="1" t="s">
        <v>14</v>
      </c>
      <c r="R37" s="7">
        <v>17.030136986301368</v>
      </c>
      <c r="S37" t="s">
        <v>14</v>
      </c>
      <c r="T37" t="s">
        <v>14</v>
      </c>
      <c r="U37" t="s">
        <v>27</v>
      </c>
    </row>
    <row r="38" spans="1:21" hidden="1" x14ac:dyDescent="0.25">
      <c r="A38" t="s">
        <v>41</v>
      </c>
      <c r="B38">
        <v>36.695208000000001</v>
      </c>
      <c r="C38">
        <v>-96.396675000000002</v>
      </c>
      <c r="D38" t="s">
        <v>244</v>
      </c>
      <c r="E38" t="s">
        <v>240</v>
      </c>
      <c r="F38" t="s">
        <v>11</v>
      </c>
      <c r="G38" t="s">
        <v>221</v>
      </c>
      <c r="H38">
        <v>1</v>
      </c>
      <c r="I38" t="s">
        <v>23</v>
      </c>
      <c r="J38" s="5" t="s">
        <v>40</v>
      </c>
      <c r="K38">
        <v>0.1032</v>
      </c>
      <c r="L38">
        <v>25</v>
      </c>
      <c r="M38" t="s">
        <v>31</v>
      </c>
      <c r="N38" t="s">
        <v>17</v>
      </c>
      <c r="O38" s="3">
        <v>37893</v>
      </c>
      <c r="P38" s="3">
        <v>43689</v>
      </c>
      <c r="Q38" s="1">
        <v>0.43125248738284078</v>
      </c>
      <c r="R38" s="7">
        <v>15.87945205479452</v>
      </c>
      <c r="S38">
        <v>3.8</v>
      </c>
      <c r="T38" s="2">
        <v>5.4387594520547946</v>
      </c>
      <c r="U38" t="s">
        <v>13</v>
      </c>
    </row>
    <row r="39" spans="1:21" hidden="1" x14ac:dyDescent="0.25">
      <c r="A39" t="s">
        <v>41</v>
      </c>
      <c r="B39">
        <v>36.695208000000001</v>
      </c>
      <c r="C39">
        <v>-96.396675000000002</v>
      </c>
      <c r="D39" t="s">
        <v>244</v>
      </c>
      <c r="E39" t="s">
        <v>240</v>
      </c>
      <c r="F39" t="s">
        <v>11</v>
      </c>
      <c r="G39" t="s">
        <v>222</v>
      </c>
      <c r="H39">
        <v>0</v>
      </c>
      <c r="I39" t="s">
        <v>15</v>
      </c>
      <c r="J39" s="4" t="s">
        <v>14</v>
      </c>
      <c r="K39" t="s">
        <v>15</v>
      </c>
      <c r="L39">
        <v>35</v>
      </c>
      <c r="M39" t="s">
        <v>16</v>
      </c>
      <c r="N39" t="s">
        <v>17</v>
      </c>
      <c r="O39" s="3">
        <v>35913</v>
      </c>
      <c r="P39" s="3">
        <v>43689</v>
      </c>
      <c r="Q39" s="1" t="s">
        <v>14</v>
      </c>
      <c r="R39" s="7">
        <v>21.304109589041097</v>
      </c>
      <c r="S39" t="s">
        <v>14</v>
      </c>
      <c r="T39" t="s">
        <v>14</v>
      </c>
      <c r="U39" t="s">
        <v>24</v>
      </c>
    </row>
    <row r="40" spans="1:21" hidden="1" x14ac:dyDescent="0.25">
      <c r="A40" t="s">
        <v>41</v>
      </c>
      <c r="B40">
        <v>36.695208000000001</v>
      </c>
      <c r="C40">
        <v>-96.396675000000002</v>
      </c>
      <c r="D40" t="s">
        <v>244</v>
      </c>
      <c r="E40" t="s">
        <v>240</v>
      </c>
      <c r="F40" t="s">
        <v>11</v>
      </c>
      <c r="G40" t="s">
        <v>224</v>
      </c>
      <c r="H40">
        <v>0</v>
      </c>
      <c r="I40" t="s">
        <v>15</v>
      </c>
      <c r="J40" t="s">
        <v>14</v>
      </c>
      <c r="K40" t="s">
        <v>15</v>
      </c>
      <c r="L40">
        <v>26</v>
      </c>
      <c r="M40" t="s">
        <v>17</v>
      </c>
      <c r="N40" t="s">
        <v>17</v>
      </c>
      <c r="O40" s="3">
        <v>37193</v>
      </c>
      <c r="P40" s="3">
        <v>43689</v>
      </c>
      <c r="Q40" s="1" t="s">
        <v>14</v>
      </c>
      <c r="R40" s="7">
        <v>17.797260273972604</v>
      </c>
      <c r="S40" t="s">
        <v>14</v>
      </c>
      <c r="T40" t="s">
        <v>14</v>
      </c>
      <c r="U40" t="s">
        <v>19</v>
      </c>
    </row>
    <row r="41" spans="1:21" hidden="1" x14ac:dyDescent="0.25">
      <c r="A41" t="s">
        <v>41</v>
      </c>
      <c r="B41">
        <v>36.695208000000001</v>
      </c>
      <c r="C41">
        <v>-96.396675000000002</v>
      </c>
      <c r="D41" t="s">
        <v>244</v>
      </c>
      <c r="E41" t="s">
        <v>240</v>
      </c>
      <c r="F41" t="s">
        <v>11</v>
      </c>
      <c r="G41" t="s">
        <v>225</v>
      </c>
      <c r="H41">
        <v>1</v>
      </c>
      <c r="I41" t="s">
        <v>23</v>
      </c>
      <c r="J41" t="s">
        <v>40</v>
      </c>
      <c r="K41" s="2">
        <v>1.3819999999999999</v>
      </c>
      <c r="L41">
        <v>40</v>
      </c>
      <c r="M41" t="s">
        <v>16</v>
      </c>
      <c r="N41" t="s">
        <v>17</v>
      </c>
      <c r="O41" s="3">
        <v>35913</v>
      </c>
      <c r="P41" s="3">
        <v>45160</v>
      </c>
      <c r="Q41" s="1">
        <v>0.13730168143969909</v>
      </c>
      <c r="R41" s="7">
        <v>25.334246575342465</v>
      </c>
      <c r="S41">
        <v>255</v>
      </c>
      <c r="T41" s="2">
        <v>290.01192876712327</v>
      </c>
      <c r="U41" t="s">
        <v>21</v>
      </c>
    </row>
    <row r="42" spans="1:21" hidden="1" x14ac:dyDescent="0.25">
      <c r="A42" t="s">
        <v>41</v>
      </c>
      <c r="B42">
        <v>36.695208000000001</v>
      </c>
      <c r="C42">
        <v>-96.396675000000002</v>
      </c>
      <c r="D42" t="s">
        <v>244</v>
      </c>
      <c r="E42" t="s">
        <v>240</v>
      </c>
      <c r="F42" t="s">
        <v>11</v>
      </c>
      <c r="G42" t="s">
        <v>223</v>
      </c>
      <c r="H42">
        <v>0</v>
      </c>
      <c r="I42" t="s">
        <v>15</v>
      </c>
      <c r="J42" t="s">
        <v>14</v>
      </c>
      <c r="K42" t="s">
        <v>15</v>
      </c>
      <c r="L42">
        <v>35</v>
      </c>
      <c r="M42" t="s">
        <v>16</v>
      </c>
      <c r="N42" t="s">
        <v>17</v>
      </c>
      <c r="O42" s="3">
        <v>35913</v>
      </c>
      <c r="P42" s="3">
        <v>36384</v>
      </c>
      <c r="Q42" s="1" t="s">
        <v>14</v>
      </c>
      <c r="R42" s="7">
        <v>1.2904109589041095</v>
      </c>
      <c r="S42" t="s">
        <v>14</v>
      </c>
      <c r="T42" t="s">
        <v>14</v>
      </c>
      <c r="U42" t="s">
        <v>24</v>
      </c>
    </row>
    <row r="43" spans="1:21" hidden="1" x14ac:dyDescent="0.25">
      <c r="A43" t="s">
        <v>41</v>
      </c>
      <c r="B43">
        <v>36.695208000000001</v>
      </c>
      <c r="C43">
        <v>-96.396675000000002</v>
      </c>
      <c r="D43" t="s">
        <v>244</v>
      </c>
      <c r="E43" t="s">
        <v>240</v>
      </c>
      <c r="F43" t="s">
        <v>11</v>
      </c>
      <c r="G43" t="s">
        <v>226</v>
      </c>
      <c r="H43">
        <v>0</v>
      </c>
      <c r="I43" t="s">
        <v>15</v>
      </c>
      <c r="J43" t="s">
        <v>14</v>
      </c>
      <c r="K43" t="s">
        <v>15</v>
      </c>
      <c r="L43">
        <v>26</v>
      </c>
      <c r="M43" t="s">
        <v>17</v>
      </c>
      <c r="N43" t="s">
        <v>17</v>
      </c>
      <c r="O43" s="3">
        <v>37193</v>
      </c>
      <c r="P43" s="3">
        <v>43689</v>
      </c>
      <c r="Q43" s="1" t="s">
        <v>14</v>
      </c>
      <c r="R43" s="7">
        <v>17.797260273972604</v>
      </c>
      <c r="S43" t="s">
        <v>14</v>
      </c>
      <c r="T43" t="s">
        <v>14</v>
      </c>
      <c r="U43" t="s">
        <v>27</v>
      </c>
    </row>
    <row r="44" spans="1:21" hidden="1" x14ac:dyDescent="0.25">
      <c r="A44" t="s">
        <v>42</v>
      </c>
      <c r="B44">
        <v>36.144221999999999</v>
      </c>
      <c r="C44">
        <v>-97.065161000000003</v>
      </c>
      <c r="D44" t="s">
        <v>245</v>
      </c>
      <c r="E44" t="s">
        <v>240</v>
      </c>
      <c r="F44" t="s">
        <v>11</v>
      </c>
      <c r="G44" t="s">
        <v>221</v>
      </c>
      <c r="H44">
        <v>3</v>
      </c>
      <c r="I44" t="s">
        <v>23</v>
      </c>
      <c r="J44" s="4" t="s">
        <v>22</v>
      </c>
      <c r="K44">
        <v>1.8220000000000001</v>
      </c>
      <c r="L44">
        <v>19</v>
      </c>
      <c r="M44" t="s">
        <v>33</v>
      </c>
      <c r="N44" t="s">
        <v>17</v>
      </c>
      <c r="O44" s="3">
        <v>38244</v>
      </c>
      <c r="P44" s="3">
        <v>44082</v>
      </c>
      <c r="Q44" s="1">
        <v>29.142016438356166</v>
      </c>
      <c r="R44" s="7">
        <v>15.994520547945205</v>
      </c>
      <c r="S44">
        <v>1</v>
      </c>
      <c r="T44" s="2">
        <v>30.142016438356166</v>
      </c>
      <c r="U44" t="s">
        <v>13</v>
      </c>
    </row>
    <row r="45" spans="1:21" hidden="1" x14ac:dyDescent="0.25">
      <c r="A45" t="s">
        <v>42</v>
      </c>
      <c r="B45">
        <v>36.144221999999999</v>
      </c>
      <c r="C45">
        <v>-97.065161000000003</v>
      </c>
      <c r="D45" t="s">
        <v>245</v>
      </c>
      <c r="E45" t="s">
        <v>240</v>
      </c>
      <c r="F45" t="s">
        <v>11</v>
      </c>
      <c r="G45" t="s">
        <v>222</v>
      </c>
      <c r="H45">
        <v>3</v>
      </c>
      <c r="I45" t="s">
        <v>23</v>
      </c>
      <c r="J45" s="4" t="s">
        <v>22</v>
      </c>
      <c r="K45">
        <v>3.141E-2</v>
      </c>
      <c r="L45">
        <v>22</v>
      </c>
      <c r="M45" t="s">
        <v>16</v>
      </c>
      <c r="N45" t="s">
        <v>16</v>
      </c>
      <c r="O45" s="3">
        <v>37188</v>
      </c>
      <c r="P45" s="3">
        <v>44116</v>
      </c>
      <c r="Q45" s="1">
        <v>0.99364602739726016</v>
      </c>
      <c r="R45" s="7">
        <v>18.980821917808218</v>
      </c>
      <c r="S45">
        <v>0.6</v>
      </c>
      <c r="T45" s="2">
        <v>1.196187616438356</v>
      </c>
      <c r="U45" t="s">
        <v>24</v>
      </c>
    </row>
    <row r="46" spans="1:21" hidden="1" x14ac:dyDescent="0.25">
      <c r="A46" t="s">
        <v>42</v>
      </c>
      <c r="B46">
        <v>36.144221999999999</v>
      </c>
      <c r="C46">
        <v>-97.065161000000003</v>
      </c>
      <c r="D46" t="s">
        <v>245</v>
      </c>
      <c r="E46" t="s">
        <v>240</v>
      </c>
      <c r="F46" t="s">
        <v>11</v>
      </c>
      <c r="G46" t="s">
        <v>224</v>
      </c>
      <c r="H46">
        <v>0</v>
      </c>
      <c r="I46" t="s">
        <v>15</v>
      </c>
      <c r="J46" t="s">
        <v>14</v>
      </c>
      <c r="K46" t="s">
        <v>15</v>
      </c>
      <c r="L46">
        <v>14</v>
      </c>
      <c r="M46" t="s">
        <v>17</v>
      </c>
      <c r="N46" t="s">
        <v>17</v>
      </c>
      <c r="O46" s="3">
        <v>37188</v>
      </c>
      <c r="P46" s="3">
        <v>44082</v>
      </c>
      <c r="Q46" s="1" t="s">
        <v>14</v>
      </c>
      <c r="R46" s="7">
        <v>18.887671232876713</v>
      </c>
      <c r="S46" t="s">
        <v>14</v>
      </c>
      <c r="T46" t="s">
        <v>14</v>
      </c>
      <c r="U46" t="s">
        <v>19</v>
      </c>
    </row>
    <row r="47" spans="1:21" hidden="1" x14ac:dyDescent="0.25">
      <c r="A47" t="s">
        <v>42</v>
      </c>
      <c r="B47">
        <v>36.144221999999999</v>
      </c>
      <c r="C47">
        <v>-97.065161000000003</v>
      </c>
      <c r="D47" t="s">
        <v>245</v>
      </c>
      <c r="E47" t="s">
        <v>240</v>
      </c>
      <c r="F47" t="s">
        <v>11</v>
      </c>
      <c r="G47" t="s">
        <v>225</v>
      </c>
      <c r="H47">
        <v>3</v>
      </c>
      <c r="I47" t="s">
        <v>23</v>
      </c>
      <c r="J47" t="s">
        <v>22</v>
      </c>
      <c r="K47" s="2">
        <v>7.1879999999999997</v>
      </c>
      <c r="L47">
        <v>24</v>
      </c>
      <c r="M47" t="s">
        <v>17</v>
      </c>
      <c r="N47" t="s">
        <v>16</v>
      </c>
      <c r="O47" s="3">
        <v>37188</v>
      </c>
      <c r="P47" s="3">
        <v>44116</v>
      </c>
      <c r="Q47" s="1">
        <v>0.54573659178082201</v>
      </c>
      <c r="R47" s="7">
        <v>18.980821917808218</v>
      </c>
      <c r="S47">
        <v>250</v>
      </c>
      <c r="T47" s="2">
        <v>386.4341479452055</v>
      </c>
      <c r="U47" t="s">
        <v>21</v>
      </c>
    </row>
    <row r="48" spans="1:21" hidden="1" x14ac:dyDescent="0.25">
      <c r="A48" t="s">
        <v>42</v>
      </c>
      <c r="B48">
        <v>36.144221999999999</v>
      </c>
      <c r="C48">
        <v>-97.065161000000003</v>
      </c>
      <c r="D48" t="s">
        <v>245</v>
      </c>
      <c r="E48" t="s">
        <v>240</v>
      </c>
      <c r="F48" t="s">
        <v>11</v>
      </c>
      <c r="G48" t="s">
        <v>223</v>
      </c>
      <c r="H48">
        <v>3</v>
      </c>
      <c r="I48" t="s">
        <v>23</v>
      </c>
      <c r="J48" s="4" t="s">
        <v>22</v>
      </c>
      <c r="K48">
        <v>1.9469999999999999E-3</v>
      </c>
      <c r="L48">
        <v>22</v>
      </c>
      <c r="M48" t="s">
        <v>17</v>
      </c>
      <c r="N48" t="s">
        <v>31</v>
      </c>
      <c r="O48" s="3">
        <v>37188</v>
      </c>
      <c r="P48" s="3">
        <v>44082</v>
      </c>
      <c r="Q48" s="1">
        <v>1.3133677103718202</v>
      </c>
      <c r="R48" s="7">
        <v>18.887671232876713</v>
      </c>
      <c r="S48">
        <v>2.8000000000000001E-2</v>
      </c>
      <c r="T48" s="2">
        <v>6.4774295890410963E-2</v>
      </c>
      <c r="U48" t="s">
        <v>24</v>
      </c>
    </row>
    <row r="49" spans="1:21" hidden="1" x14ac:dyDescent="0.25">
      <c r="A49" t="s">
        <v>42</v>
      </c>
      <c r="B49">
        <v>36.144221999999999</v>
      </c>
      <c r="C49">
        <v>-97.065161000000003</v>
      </c>
      <c r="D49" t="s">
        <v>245</v>
      </c>
      <c r="E49" t="s">
        <v>240</v>
      </c>
      <c r="F49" t="s">
        <v>11</v>
      </c>
      <c r="G49" t="s">
        <v>226</v>
      </c>
      <c r="H49">
        <v>-1</v>
      </c>
      <c r="I49" t="s">
        <v>29</v>
      </c>
      <c r="J49" s="4" t="s">
        <v>28</v>
      </c>
      <c r="K49">
        <v>-0.26769999999999999</v>
      </c>
      <c r="L49">
        <v>17</v>
      </c>
      <c r="M49" t="s">
        <v>17</v>
      </c>
      <c r="N49" t="s">
        <v>33</v>
      </c>
      <c r="O49" s="3">
        <v>37188</v>
      </c>
      <c r="P49" s="3">
        <v>44082</v>
      </c>
      <c r="Q49" s="1">
        <v>-0.24077283757338547</v>
      </c>
      <c r="R49" s="7">
        <v>18.887671232876713</v>
      </c>
      <c r="S49">
        <v>21</v>
      </c>
      <c r="T49" s="2">
        <v>15.943770410958905</v>
      </c>
      <c r="U49" t="s">
        <v>27</v>
      </c>
    </row>
    <row r="50" spans="1:21" hidden="1" x14ac:dyDescent="0.25">
      <c r="A50" t="s">
        <v>43</v>
      </c>
      <c r="B50">
        <v>34.147500000000001</v>
      </c>
      <c r="C50">
        <v>-94.683055999999993</v>
      </c>
      <c r="D50" t="s">
        <v>246</v>
      </c>
      <c r="E50" t="s">
        <v>240</v>
      </c>
      <c r="F50" t="s">
        <v>11</v>
      </c>
      <c r="G50" t="s">
        <v>221</v>
      </c>
      <c r="H50">
        <v>3</v>
      </c>
      <c r="I50" t="s">
        <v>23</v>
      </c>
      <c r="J50" s="4" t="s">
        <v>22</v>
      </c>
      <c r="K50">
        <v>0.20730000000000001</v>
      </c>
      <c r="L50">
        <v>30</v>
      </c>
      <c r="M50" t="s">
        <v>33</v>
      </c>
      <c r="N50" t="s">
        <v>17</v>
      </c>
      <c r="O50" s="3">
        <v>37928</v>
      </c>
      <c r="P50" s="3">
        <v>44485</v>
      </c>
      <c r="Q50" s="1">
        <v>2.4826778082191781</v>
      </c>
      <c r="R50" s="7">
        <v>17.964383561643835</v>
      </c>
      <c r="S50">
        <v>1.5</v>
      </c>
      <c r="T50" s="2">
        <v>5.2240167123287673</v>
      </c>
      <c r="U50" t="s">
        <v>13</v>
      </c>
    </row>
    <row r="51" spans="1:21" hidden="1" x14ac:dyDescent="0.25">
      <c r="A51" t="s">
        <v>43</v>
      </c>
      <c r="B51">
        <v>34.147500000000001</v>
      </c>
      <c r="C51">
        <v>-94.683055999999993</v>
      </c>
      <c r="D51" t="s">
        <v>246</v>
      </c>
      <c r="E51" t="s">
        <v>240</v>
      </c>
      <c r="F51" t="s">
        <v>11</v>
      </c>
      <c r="G51" t="s">
        <v>222</v>
      </c>
      <c r="H51">
        <v>0</v>
      </c>
      <c r="I51" t="s">
        <v>15</v>
      </c>
      <c r="J51" s="4" t="s">
        <v>14</v>
      </c>
      <c r="K51" t="s">
        <v>15</v>
      </c>
      <c r="L51">
        <v>33</v>
      </c>
      <c r="M51" t="s">
        <v>16</v>
      </c>
      <c r="N51" t="s">
        <v>17</v>
      </c>
      <c r="O51" s="3">
        <v>36859</v>
      </c>
      <c r="P51" s="3">
        <v>44453</v>
      </c>
      <c r="Q51" s="1" t="s">
        <v>14</v>
      </c>
      <c r="R51" s="7">
        <v>20.805479452054794</v>
      </c>
      <c r="S51" t="s">
        <v>14</v>
      </c>
      <c r="T51" t="s">
        <v>14</v>
      </c>
      <c r="U51" t="s">
        <v>24</v>
      </c>
    </row>
    <row r="52" spans="1:21" hidden="1" x14ac:dyDescent="0.25">
      <c r="A52" t="s">
        <v>43</v>
      </c>
      <c r="B52">
        <v>34.147500000000001</v>
      </c>
      <c r="C52">
        <v>-94.683055999999993</v>
      </c>
      <c r="D52" t="s">
        <v>246</v>
      </c>
      <c r="E52" t="s">
        <v>240</v>
      </c>
      <c r="F52" t="s">
        <v>11</v>
      </c>
      <c r="G52" t="s">
        <v>224</v>
      </c>
      <c r="H52">
        <v>0</v>
      </c>
      <c r="I52" t="s">
        <v>15</v>
      </c>
      <c r="J52" t="s">
        <v>14</v>
      </c>
      <c r="K52" t="s">
        <v>15</v>
      </c>
      <c r="L52">
        <v>28</v>
      </c>
      <c r="M52" t="s">
        <v>17</v>
      </c>
      <c r="N52" t="s">
        <v>17</v>
      </c>
      <c r="O52" s="3">
        <v>36859</v>
      </c>
      <c r="P52" s="3">
        <v>44404</v>
      </c>
      <c r="Q52" s="1" t="s">
        <v>14</v>
      </c>
      <c r="R52" s="7">
        <v>20.671232876712327</v>
      </c>
      <c r="S52" t="s">
        <v>14</v>
      </c>
      <c r="T52" t="s">
        <v>14</v>
      </c>
      <c r="U52" t="s">
        <v>19</v>
      </c>
    </row>
    <row r="53" spans="1:21" hidden="1" x14ac:dyDescent="0.25">
      <c r="A53" t="s">
        <v>43</v>
      </c>
      <c r="B53">
        <v>34.147500000000001</v>
      </c>
      <c r="C53">
        <v>-94.683055999999993</v>
      </c>
      <c r="D53" t="s">
        <v>246</v>
      </c>
      <c r="E53" t="s">
        <v>240</v>
      </c>
      <c r="F53" t="s">
        <v>11</v>
      </c>
      <c r="G53" t="s">
        <v>225</v>
      </c>
      <c r="H53">
        <v>3</v>
      </c>
      <c r="I53" t="s">
        <v>23</v>
      </c>
      <c r="J53" t="s">
        <v>22</v>
      </c>
      <c r="K53" s="2">
        <v>0.62009999999999998</v>
      </c>
      <c r="L53">
        <v>41</v>
      </c>
      <c r="M53" t="s">
        <v>16</v>
      </c>
      <c r="N53" t="s">
        <v>17</v>
      </c>
      <c r="O53" s="3">
        <v>36859</v>
      </c>
      <c r="P53" s="3">
        <v>45167</v>
      </c>
      <c r="Q53" s="1">
        <v>0.58810397260273961</v>
      </c>
      <c r="R53" s="7">
        <v>22.761643835616439</v>
      </c>
      <c r="S53">
        <v>24</v>
      </c>
      <c r="T53" s="2">
        <v>38.114495342465752</v>
      </c>
      <c r="U53" t="s">
        <v>21</v>
      </c>
    </row>
    <row r="54" spans="1:21" hidden="1" x14ac:dyDescent="0.25">
      <c r="A54" t="s">
        <v>43</v>
      </c>
      <c r="B54">
        <v>34.147500000000001</v>
      </c>
      <c r="C54">
        <v>-94.683055999999993</v>
      </c>
      <c r="D54" t="s">
        <v>246</v>
      </c>
      <c r="E54" t="s">
        <v>240</v>
      </c>
      <c r="F54" t="s">
        <v>11</v>
      </c>
      <c r="G54" t="s">
        <v>223</v>
      </c>
      <c r="H54">
        <v>0</v>
      </c>
      <c r="I54" t="s">
        <v>15</v>
      </c>
      <c r="J54" t="s">
        <v>14</v>
      </c>
      <c r="K54" t="s">
        <v>15</v>
      </c>
      <c r="L54">
        <v>27</v>
      </c>
      <c r="M54" t="s">
        <v>17</v>
      </c>
      <c r="N54" t="s">
        <v>17</v>
      </c>
      <c r="O54" s="3">
        <v>36859</v>
      </c>
      <c r="P54" s="3">
        <v>44404</v>
      </c>
      <c r="Q54" s="1" t="s">
        <v>14</v>
      </c>
      <c r="R54" s="7">
        <v>20.671232876712327</v>
      </c>
      <c r="S54" t="s">
        <v>14</v>
      </c>
      <c r="T54" t="s">
        <v>14</v>
      </c>
      <c r="U54" t="s">
        <v>24</v>
      </c>
    </row>
    <row r="55" spans="1:21" hidden="1" x14ac:dyDescent="0.25">
      <c r="A55" t="s">
        <v>43</v>
      </c>
      <c r="B55">
        <v>34.147500000000001</v>
      </c>
      <c r="C55">
        <v>-94.683055999999993</v>
      </c>
      <c r="D55" t="s">
        <v>246</v>
      </c>
      <c r="E55" t="s">
        <v>240</v>
      </c>
      <c r="F55" t="s">
        <v>11</v>
      </c>
      <c r="G55" t="s">
        <v>226</v>
      </c>
      <c r="H55">
        <v>0</v>
      </c>
      <c r="I55" t="s">
        <v>15</v>
      </c>
      <c r="J55" t="s">
        <v>14</v>
      </c>
      <c r="K55" t="s">
        <v>15</v>
      </c>
      <c r="L55">
        <v>29</v>
      </c>
      <c r="M55" t="s">
        <v>17</v>
      </c>
      <c r="N55" t="s">
        <v>17</v>
      </c>
      <c r="O55" s="3">
        <v>36859</v>
      </c>
      <c r="P55" s="3">
        <v>44453</v>
      </c>
      <c r="Q55" s="1" t="s">
        <v>14</v>
      </c>
      <c r="R55" s="7">
        <v>20.805479452054794</v>
      </c>
      <c r="S55" t="s">
        <v>14</v>
      </c>
      <c r="T55" t="s">
        <v>14</v>
      </c>
      <c r="U55" t="s">
        <v>27</v>
      </c>
    </row>
    <row r="56" spans="1:21" hidden="1" x14ac:dyDescent="0.25">
      <c r="A56" s="5" t="s">
        <v>44</v>
      </c>
      <c r="B56">
        <v>36.093372000000002</v>
      </c>
      <c r="C56">
        <v>-98.588339000000005</v>
      </c>
      <c r="D56" t="s">
        <v>247</v>
      </c>
      <c r="E56" t="s">
        <v>240</v>
      </c>
      <c r="F56" t="s">
        <v>11</v>
      </c>
      <c r="G56" t="s">
        <v>221</v>
      </c>
      <c r="H56">
        <v>1</v>
      </c>
      <c r="I56" t="s">
        <v>23</v>
      </c>
      <c r="J56" s="4" t="s">
        <v>40</v>
      </c>
      <c r="K56" s="6">
        <v>0.50370000000000004</v>
      </c>
      <c r="L56" s="6">
        <v>35</v>
      </c>
      <c r="M56" s="5" t="s">
        <v>16</v>
      </c>
      <c r="N56" s="5" t="s">
        <v>17</v>
      </c>
      <c r="O56" s="3">
        <v>36129</v>
      </c>
      <c r="P56" s="3">
        <v>43662</v>
      </c>
      <c r="Q56" s="1">
        <v>1.0395540000000001</v>
      </c>
      <c r="R56" s="7">
        <v>20.638356164383563</v>
      </c>
      <c r="S56">
        <v>10</v>
      </c>
      <c r="T56" s="2">
        <v>20.39554</v>
      </c>
      <c r="U56" t="s">
        <v>13</v>
      </c>
    </row>
    <row r="57" spans="1:21" hidden="1" x14ac:dyDescent="0.25">
      <c r="A57" s="5" t="s">
        <v>44</v>
      </c>
      <c r="B57">
        <v>36.093372000000002</v>
      </c>
      <c r="C57">
        <v>-98.588339000000005</v>
      </c>
      <c r="D57" t="s">
        <v>247</v>
      </c>
      <c r="E57" t="s">
        <v>240</v>
      </c>
      <c r="F57" t="s">
        <v>11</v>
      </c>
      <c r="G57" t="s">
        <v>222</v>
      </c>
      <c r="H57">
        <v>3</v>
      </c>
      <c r="I57" t="s">
        <v>23</v>
      </c>
      <c r="J57" s="4" t="s">
        <v>22</v>
      </c>
      <c r="K57">
        <v>1.5949999999999999E-2</v>
      </c>
      <c r="L57" s="6">
        <v>36</v>
      </c>
      <c r="M57" s="5" t="s">
        <v>16</v>
      </c>
      <c r="N57" s="5" t="s">
        <v>17</v>
      </c>
      <c r="O57" s="3">
        <v>36129</v>
      </c>
      <c r="P57" s="3">
        <v>43662</v>
      </c>
      <c r="Q57" s="1">
        <v>0.47025968688845393</v>
      </c>
      <c r="R57" s="7">
        <v>20.638356164383563</v>
      </c>
      <c r="S57">
        <v>0.7</v>
      </c>
      <c r="T57" s="2">
        <v>1.0291817808219177</v>
      </c>
      <c r="U57" t="s">
        <v>24</v>
      </c>
    </row>
    <row r="58" spans="1:21" hidden="1" x14ac:dyDescent="0.25">
      <c r="A58" s="5" t="s">
        <v>44</v>
      </c>
      <c r="B58">
        <v>36.093372000000002</v>
      </c>
      <c r="C58">
        <v>-98.588339000000005</v>
      </c>
      <c r="D58" t="s">
        <v>247</v>
      </c>
      <c r="E58" t="s">
        <v>240</v>
      </c>
      <c r="F58" t="s">
        <v>11</v>
      </c>
      <c r="G58" t="s">
        <v>224</v>
      </c>
      <c r="H58">
        <v>0</v>
      </c>
      <c r="I58" t="s">
        <v>15</v>
      </c>
      <c r="J58" s="5" t="s">
        <v>14</v>
      </c>
      <c r="K58" t="s">
        <v>15</v>
      </c>
      <c r="L58" s="6">
        <v>36</v>
      </c>
      <c r="M58" s="5" t="s">
        <v>33</v>
      </c>
      <c r="N58" s="5" t="s">
        <v>17</v>
      </c>
      <c r="O58" s="3">
        <v>36129</v>
      </c>
      <c r="P58" s="3">
        <v>43662</v>
      </c>
      <c r="Q58" s="1" t="s">
        <v>14</v>
      </c>
      <c r="R58" s="7">
        <v>20.638356164383563</v>
      </c>
      <c r="S58" t="s">
        <v>14</v>
      </c>
      <c r="T58" t="s">
        <v>14</v>
      </c>
      <c r="U58" t="s">
        <v>19</v>
      </c>
    </row>
    <row r="59" spans="1:21" hidden="1" x14ac:dyDescent="0.25">
      <c r="A59" t="s">
        <v>44</v>
      </c>
      <c r="B59">
        <v>36.093372000000002</v>
      </c>
      <c r="C59">
        <v>-98.588339000000005</v>
      </c>
      <c r="D59" t="s">
        <v>247</v>
      </c>
      <c r="E59" t="s">
        <v>240</v>
      </c>
      <c r="F59" t="s">
        <v>11</v>
      </c>
      <c r="G59" t="s">
        <v>225</v>
      </c>
      <c r="H59">
        <v>3</v>
      </c>
      <c r="I59" t="s">
        <v>23</v>
      </c>
      <c r="J59" t="s">
        <v>22</v>
      </c>
      <c r="K59" s="2">
        <v>15.52</v>
      </c>
      <c r="L59">
        <v>37</v>
      </c>
      <c r="M59" t="s">
        <v>16</v>
      </c>
      <c r="N59" t="s">
        <v>33</v>
      </c>
      <c r="O59" s="3">
        <v>35850</v>
      </c>
      <c r="P59" s="3">
        <v>43666</v>
      </c>
      <c r="Q59" s="1">
        <v>0.23738614481408993</v>
      </c>
      <c r="R59" s="7">
        <v>21.413698630136988</v>
      </c>
      <c r="S59">
        <v>1400</v>
      </c>
      <c r="T59" s="2">
        <v>1732.3406027397259</v>
      </c>
      <c r="U59" t="s">
        <v>21</v>
      </c>
    </row>
    <row r="60" spans="1:21" hidden="1" x14ac:dyDescent="0.25">
      <c r="A60" s="5" t="s">
        <v>44</v>
      </c>
      <c r="B60">
        <v>36.093372000000002</v>
      </c>
      <c r="C60">
        <v>-98.588339000000005</v>
      </c>
      <c r="D60" t="s">
        <v>247</v>
      </c>
      <c r="E60" t="s">
        <v>240</v>
      </c>
      <c r="F60" t="s">
        <v>11</v>
      </c>
      <c r="G60" t="s">
        <v>223</v>
      </c>
      <c r="H60">
        <v>-2</v>
      </c>
      <c r="I60" t="s">
        <v>29</v>
      </c>
      <c r="J60" s="4" t="s">
        <v>34</v>
      </c>
      <c r="K60">
        <v>-1.261E-3</v>
      </c>
      <c r="L60" s="6">
        <v>36</v>
      </c>
      <c r="M60" s="5" t="s">
        <v>17</v>
      </c>
      <c r="N60" s="5" t="s">
        <v>17</v>
      </c>
      <c r="O60" s="3">
        <v>36129</v>
      </c>
      <c r="P60" s="3">
        <v>43699</v>
      </c>
      <c r="Q60" s="1">
        <v>-0.34870392694063929</v>
      </c>
      <c r="R60" s="7">
        <v>20.739726027397261</v>
      </c>
      <c r="S60">
        <v>7.4999999999999997E-2</v>
      </c>
      <c r="T60" s="2">
        <v>4.8847205479452052E-2</v>
      </c>
      <c r="U60" t="s">
        <v>24</v>
      </c>
    </row>
    <row r="61" spans="1:21" hidden="1" x14ac:dyDescent="0.25">
      <c r="A61" s="5" t="s">
        <v>44</v>
      </c>
      <c r="B61">
        <v>36.093372000000002</v>
      </c>
      <c r="C61">
        <v>-98.588339000000005</v>
      </c>
      <c r="D61" t="s">
        <v>247</v>
      </c>
      <c r="E61" t="s">
        <v>240</v>
      </c>
      <c r="F61" t="s">
        <v>11</v>
      </c>
      <c r="G61" t="s">
        <v>226</v>
      </c>
      <c r="H61">
        <v>0</v>
      </c>
      <c r="I61" t="s">
        <v>15</v>
      </c>
      <c r="J61" s="5" t="s">
        <v>14</v>
      </c>
      <c r="K61" t="s">
        <v>15</v>
      </c>
      <c r="L61" s="6">
        <v>36</v>
      </c>
      <c r="M61" s="5" t="s">
        <v>45</v>
      </c>
      <c r="N61" s="5" t="s">
        <v>31</v>
      </c>
      <c r="O61" s="3">
        <v>36129</v>
      </c>
      <c r="P61" s="3">
        <v>43662</v>
      </c>
      <c r="Q61" s="1" t="s">
        <v>14</v>
      </c>
      <c r="R61" s="7">
        <v>20.638356164383563</v>
      </c>
      <c r="S61" t="s">
        <v>14</v>
      </c>
      <c r="T61" t="s">
        <v>14</v>
      </c>
      <c r="U61" t="s">
        <v>27</v>
      </c>
    </row>
    <row r="62" spans="1:21" hidden="1" x14ac:dyDescent="0.25">
      <c r="A62" t="s">
        <v>46</v>
      </c>
      <c r="B62">
        <v>34.767789</v>
      </c>
      <c r="C62">
        <v>-95.068258</v>
      </c>
      <c r="D62" t="s">
        <v>248</v>
      </c>
      <c r="E62" t="s">
        <v>240</v>
      </c>
      <c r="F62" t="s">
        <v>11</v>
      </c>
      <c r="G62" t="s">
        <v>221</v>
      </c>
      <c r="H62">
        <v>3</v>
      </c>
      <c r="I62" t="s">
        <v>23</v>
      </c>
      <c r="J62" s="4" t="s">
        <v>22</v>
      </c>
      <c r="K62">
        <v>0.1749</v>
      </c>
      <c r="L62">
        <v>18</v>
      </c>
      <c r="M62" t="s">
        <v>16</v>
      </c>
      <c r="N62" t="s">
        <v>17</v>
      </c>
      <c r="O62" s="3">
        <v>37944</v>
      </c>
      <c r="P62" s="3">
        <v>44871</v>
      </c>
      <c r="Q62" s="1">
        <v>1.9525097502014501</v>
      </c>
      <c r="R62" s="7">
        <v>18.978082191780821</v>
      </c>
      <c r="S62">
        <v>1.7</v>
      </c>
      <c r="T62" s="2">
        <v>5.0192665753424652</v>
      </c>
      <c r="U62" t="s">
        <v>13</v>
      </c>
    </row>
    <row r="63" spans="1:21" hidden="1" x14ac:dyDescent="0.25">
      <c r="A63" t="s">
        <v>46</v>
      </c>
      <c r="B63">
        <v>34.767789</v>
      </c>
      <c r="C63">
        <v>-95.068258</v>
      </c>
      <c r="D63" t="s">
        <v>248</v>
      </c>
      <c r="E63" t="s">
        <v>240</v>
      </c>
      <c r="F63" t="s">
        <v>11</v>
      </c>
      <c r="G63" t="s">
        <v>222</v>
      </c>
      <c r="H63">
        <v>2</v>
      </c>
      <c r="I63" t="s">
        <v>23</v>
      </c>
      <c r="J63" s="5" t="s">
        <v>38</v>
      </c>
      <c r="K63">
        <v>4.1599999999999996E-3</v>
      </c>
      <c r="L63">
        <v>20</v>
      </c>
      <c r="M63" t="s">
        <v>16</v>
      </c>
      <c r="N63" t="s">
        <v>33</v>
      </c>
      <c r="O63" s="3">
        <v>36858</v>
      </c>
      <c r="P63" s="3">
        <v>44837</v>
      </c>
      <c r="Q63" s="1">
        <v>0.25260761035007612</v>
      </c>
      <c r="R63" s="7">
        <v>21.860273972602741</v>
      </c>
      <c r="S63">
        <v>0.36</v>
      </c>
      <c r="T63" s="2">
        <v>0.45093873972602738</v>
      </c>
      <c r="U63" t="s">
        <v>24</v>
      </c>
    </row>
    <row r="64" spans="1:21" hidden="1" x14ac:dyDescent="0.25">
      <c r="A64" t="s">
        <v>46</v>
      </c>
      <c r="B64">
        <v>34.767789</v>
      </c>
      <c r="C64">
        <v>-95.068258</v>
      </c>
      <c r="D64" t="s">
        <v>248</v>
      </c>
      <c r="E64" t="s">
        <v>240</v>
      </c>
      <c r="F64" t="s">
        <v>11</v>
      </c>
      <c r="G64" t="s">
        <v>224</v>
      </c>
      <c r="H64">
        <v>99</v>
      </c>
      <c r="I64" t="s">
        <v>15</v>
      </c>
      <c r="J64" t="s">
        <v>186</v>
      </c>
      <c r="K64" t="s">
        <v>15</v>
      </c>
      <c r="L64">
        <v>14</v>
      </c>
      <c r="M64" t="s">
        <v>16</v>
      </c>
      <c r="N64" t="s">
        <v>31</v>
      </c>
      <c r="O64" s="3" t="s">
        <v>186</v>
      </c>
      <c r="P64" s="3" t="s">
        <v>186</v>
      </c>
      <c r="Q64" s="1" t="s">
        <v>186</v>
      </c>
      <c r="R64" s="7" t="s">
        <v>186</v>
      </c>
      <c r="S64" t="s">
        <v>186</v>
      </c>
      <c r="T64" t="s">
        <v>186</v>
      </c>
      <c r="U64" t="s">
        <v>19</v>
      </c>
    </row>
    <row r="65" spans="1:21" hidden="1" x14ac:dyDescent="0.25">
      <c r="A65" t="s">
        <v>46</v>
      </c>
      <c r="B65">
        <v>34.767789</v>
      </c>
      <c r="C65">
        <v>-95.068258</v>
      </c>
      <c r="D65" t="s">
        <v>248</v>
      </c>
      <c r="E65" t="s">
        <v>240</v>
      </c>
      <c r="F65" t="s">
        <v>11</v>
      </c>
      <c r="G65" t="s">
        <v>225</v>
      </c>
      <c r="H65">
        <v>3</v>
      </c>
      <c r="I65" t="s">
        <v>23</v>
      </c>
      <c r="J65" t="s">
        <v>22</v>
      </c>
      <c r="K65" s="2">
        <v>0.81</v>
      </c>
      <c r="L65">
        <v>19</v>
      </c>
      <c r="M65" t="s">
        <v>16</v>
      </c>
      <c r="N65" t="s">
        <v>16</v>
      </c>
      <c r="O65" s="3">
        <v>35598</v>
      </c>
      <c r="P65" s="3">
        <v>44784</v>
      </c>
      <c r="Q65" s="1">
        <v>0.72804892367906071</v>
      </c>
      <c r="R65" s="7">
        <v>25.167123287671235</v>
      </c>
      <c r="S65">
        <v>28</v>
      </c>
      <c r="T65" s="2">
        <v>48.3853698630137</v>
      </c>
      <c r="U65" t="s">
        <v>21</v>
      </c>
    </row>
    <row r="66" spans="1:21" hidden="1" x14ac:dyDescent="0.25">
      <c r="A66" t="s">
        <v>46</v>
      </c>
      <c r="B66">
        <v>34.767789</v>
      </c>
      <c r="C66">
        <v>-95.068258</v>
      </c>
      <c r="D66" t="s">
        <v>248</v>
      </c>
      <c r="E66" t="s">
        <v>240</v>
      </c>
      <c r="F66" t="s">
        <v>11</v>
      </c>
      <c r="G66" t="s">
        <v>223</v>
      </c>
      <c r="H66">
        <v>0</v>
      </c>
      <c r="I66" t="s">
        <v>15</v>
      </c>
      <c r="J66" t="s">
        <v>14</v>
      </c>
      <c r="K66" t="s">
        <v>15</v>
      </c>
      <c r="L66">
        <v>20</v>
      </c>
      <c r="M66" t="s">
        <v>16</v>
      </c>
      <c r="N66" t="s">
        <v>16</v>
      </c>
      <c r="O66" s="3">
        <v>36858</v>
      </c>
      <c r="P66" s="3">
        <v>44837</v>
      </c>
      <c r="Q66" s="1" t="s">
        <v>14</v>
      </c>
      <c r="R66" s="7">
        <v>21.860273972602741</v>
      </c>
      <c r="S66" t="s">
        <v>14</v>
      </c>
      <c r="T66" t="s">
        <v>14</v>
      </c>
      <c r="U66" t="s">
        <v>24</v>
      </c>
    </row>
    <row r="67" spans="1:21" hidden="1" x14ac:dyDescent="0.25">
      <c r="A67" t="s">
        <v>46</v>
      </c>
      <c r="B67">
        <v>34.767789</v>
      </c>
      <c r="C67">
        <v>-95.068258</v>
      </c>
      <c r="D67" t="s">
        <v>248</v>
      </c>
      <c r="E67" t="s">
        <v>240</v>
      </c>
      <c r="F67" t="s">
        <v>11</v>
      </c>
      <c r="G67" t="s">
        <v>226</v>
      </c>
      <c r="H67">
        <v>99</v>
      </c>
      <c r="I67" t="s">
        <v>15</v>
      </c>
      <c r="J67" s="4" t="s">
        <v>186</v>
      </c>
      <c r="K67" t="s">
        <v>15</v>
      </c>
      <c r="L67">
        <v>14</v>
      </c>
      <c r="M67" t="s">
        <v>16</v>
      </c>
      <c r="N67" t="s">
        <v>17</v>
      </c>
      <c r="O67" s="3" t="s">
        <v>186</v>
      </c>
      <c r="P67" s="3" t="s">
        <v>186</v>
      </c>
      <c r="Q67" s="1" t="s">
        <v>186</v>
      </c>
      <c r="R67" s="7" t="s">
        <v>186</v>
      </c>
      <c r="S67" t="s">
        <v>186</v>
      </c>
      <c r="T67" t="s">
        <v>186</v>
      </c>
      <c r="U67" t="s">
        <v>27</v>
      </c>
    </row>
    <row r="68" spans="1:21" hidden="1" x14ac:dyDescent="0.25">
      <c r="A68" t="s">
        <v>47</v>
      </c>
      <c r="B68">
        <v>36.134231</v>
      </c>
      <c r="C68">
        <v>-97.194941999999998</v>
      </c>
      <c r="D68" t="s">
        <v>245</v>
      </c>
      <c r="E68" t="s">
        <v>240</v>
      </c>
      <c r="F68" t="s">
        <v>11</v>
      </c>
      <c r="G68" t="s">
        <v>221</v>
      </c>
      <c r="H68">
        <v>0</v>
      </c>
      <c r="I68" t="s">
        <v>15</v>
      </c>
      <c r="J68" t="s">
        <v>14</v>
      </c>
      <c r="K68" t="s">
        <v>15</v>
      </c>
      <c r="L68">
        <v>26</v>
      </c>
      <c r="M68" t="s">
        <v>16</v>
      </c>
      <c r="N68" t="s">
        <v>17</v>
      </c>
      <c r="O68" s="3">
        <v>38237</v>
      </c>
      <c r="P68" s="3">
        <v>44466</v>
      </c>
      <c r="Q68" s="1" t="s">
        <v>14</v>
      </c>
      <c r="R68" s="7">
        <v>17.065753424657533</v>
      </c>
      <c r="S68" t="s">
        <v>14</v>
      </c>
      <c r="T68" t="s">
        <v>14</v>
      </c>
      <c r="U68" t="s">
        <v>13</v>
      </c>
    </row>
    <row r="69" spans="1:21" hidden="1" x14ac:dyDescent="0.25">
      <c r="A69" t="s">
        <v>47</v>
      </c>
      <c r="B69">
        <v>36.134231</v>
      </c>
      <c r="C69">
        <v>-97.194941999999998</v>
      </c>
      <c r="D69" t="s">
        <v>245</v>
      </c>
      <c r="E69" t="s">
        <v>240</v>
      </c>
      <c r="F69" t="s">
        <v>11</v>
      </c>
      <c r="G69" t="s">
        <v>222</v>
      </c>
      <c r="H69">
        <v>0</v>
      </c>
      <c r="I69" t="s">
        <v>15</v>
      </c>
      <c r="J69" t="s">
        <v>14</v>
      </c>
      <c r="K69" t="s">
        <v>15</v>
      </c>
      <c r="L69">
        <v>34</v>
      </c>
      <c r="M69" t="s">
        <v>33</v>
      </c>
      <c r="N69" t="s">
        <v>17</v>
      </c>
      <c r="O69" s="3">
        <v>35933</v>
      </c>
      <c r="P69" s="3">
        <v>44466</v>
      </c>
      <c r="Q69" s="1" t="s">
        <v>14</v>
      </c>
      <c r="R69" s="7">
        <v>23.378082191780823</v>
      </c>
      <c r="S69" t="s">
        <v>14</v>
      </c>
      <c r="T69" t="s">
        <v>14</v>
      </c>
      <c r="U69" t="s">
        <v>24</v>
      </c>
    </row>
    <row r="70" spans="1:21" hidden="1" x14ac:dyDescent="0.25">
      <c r="A70" t="s">
        <v>47</v>
      </c>
      <c r="B70">
        <v>36.134231</v>
      </c>
      <c r="C70">
        <v>-97.194941999999998</v>
      </c>
      <c r="D70" t="s">
        <v>245</v>
      </c>
      <c r="E70" t="s">
        <v>240</v>
      </c>
      <c r="F70" t="s">
        <v>11</v>
      </c>
      <c r="G70" t="s">
        <v>224</v>
      </c>
      <c r="H70">
        <v>2</v>
      </c>
      <c r="I70" t="s">
        <v>23</v>
      </c>
      <c r="J70" s="5" t="s">
        <v>38</v>
      </c>
      <c r="K70">
        <v>1.2110000000000001</v>
      </c>
      <c r="L70">
        <v>21</v>
      </c>
      <c r="M70" t="s">
        <v>17</v>
      </c>
      <c r="N70" t="s">
        <v>17</v>
      </c>
      <c r="O70" s="3">
        <v>37188</v>
      </c>
      <c r="P70" s="3">
        <v>44466</v>
      </c>
      <c r="Q70" s="1">
        <v>0.57492876712328755</v>
      </c>
      <c r="R70" s="7">
        <v>19.93972602739726</v>
      </c>
      <c r="S70">
        <v>42</v>
      </c>
      <c r="T70" s="2">
        <v>66.147008219178076</v>
      </c>
      <c r="U70" t="s">
        <v>19</v>
      </c>
    </row>
    <row r="71" spans="1:21" hidden="1" x14ac:dyDescent="0.25">
      <c r="A71" t="s">
        <v>47</v>
      </c>
      <c r="B71">
        <v>36.134231</v>
      </c>
      <c r="C71">
        <v>-97.194941999999998</v>
      </c>
      <c r="D71" t="s">
        <v>245</v>
      </c>
      <c r="E71" t="s">
        <v>240</v>
      </c>
      <c r="F71" t="s">
        <v>11</v>
      </c>
      <c r="G71" t="s">
        <v>225</v>
      </c>
      <c r="H71">
        <v>99</v>
      </c>
      <c r="I71" t="s">
        <v>15</v>
      </c>
      <c r="J71" t="s">
        <v>186</v>
      </c>
      <c r="K71" t="s">
        <v>15</v>
      </c>
      <c r="L71">
        <v>8</v>
      </c>
      <c r="M71" t="s">
        <v>16</v>
      </c>
      <c r="N71" t="s">
        <v>17</v>
      </c>
      <c r="O71" s="3" t="s">
        <v>186</v>
      </c>
      <c r="P71" s="3" t="s">
        <v>186</v>
      </c>
      <c r="Q71" s="1" t="s">
        <v>186</v>
      </c>
      <c r="R71" s="7" t="s">
        <v>186</v>
      </c>
      <c r="S71" t="s">
        <v>186</v>
      </c>
      <c r="T71" t="s">
        <v>186</v>
      </c>
      <c r="U71" t="s">
        <v>21</v>
      </c>
    </row>
    <row r="72" spans="1:21" hidden="1" x14ac:dyDescent="0.25">
      <c r="A72" t="s">
        <v>47</v>
      </c>
      <c r="B72">
        <v>36.134231</v>
      </c>
      <c r="C72">
        <v>-97.194941999999998</v>
      </c>
      <c r="D72" t="s">
        <v>245</v>
      </c>
      <c r="E72" t="s">
        <v>240</v>
      </c>
      <c r="F72" t="s">
        <v>11</v>
      </c>
      <c r="G72" t="s">
        <v>223</v>
      </c>
      <c r="H72">
        <v>0</v>
      </c>
      <c r="I72" t="s">
        <v>15</v>
      </c>
      <c r="J72" t="s">
        <v>14</v>
      </c>
      <c r="K72" t="s">
        <v>15</v>
      </c>
      <c r="L72">
        <v>33</v>
      </c>
      <c r="M72" t="s">
        <v>16</v>
      </c>
      <c r="N72" t="s">
        <v>17</v>
      </c>
      <c r="O72" s="3">
        <v>35933</v>
      </c>
      <c r="P72" s="3">
        <v>44466</v>
      </c>
      <c r="Q72" s="1" t="s">
        <v>14</v>
      </c>
      <c r="R72" s="7">
        <v>23.378082191780823</v>
      </c>
      <c r="S72" t="s">
        <v>14</v>
      </c>
      <c r="T72" t="s">
        <v>14</v>
      </c>
      <c r="U72" t="s">
        <v>24</v>
      </c>
    </row>
    <row r="73" spans="1:21" hidden="1" x14ac:dyDescent="0.25">
      <c r="A73" t="s">
        <v>47</v>
      </c>
      <c r="B73">
        <v>36.134231</v>
      </c>
      <c r="C73">
        <v>-97.194941999999998</v>
      </c>
      <c r="D73" t="s">
        <v>245</v>
      </c>
      <c r="E73" t="s">
        <v>240</v>
      </c>
      <c r="F73" t="s">
        <v>11</v>
      </c>
      <c r="G73" t="s">
        <v>226</v>
      </c>
      <c r="H73">
        <v>0</v>
      </c>
      <c r="I73" t="s">
        <v>15</v>
      </c>
      <c r="J73" t="s">
        <v>14</v>
      </c>
      <c r="K73" t="s">
        <v>15</v>
      </c>
      <c r="L73">
        <v>25</v>
      </c>
      <c r="M73" t="s">
        <v>17</v>
      </c>
      <c r="N73" t="s">
        <v>17</v>
      </c>
      <c r="O73" s="3">
        <v>37188</v>
      </c>
      <c r="P73" s="3">
        <v>44466</v>
      </c>
      <c r="Q73" s="1" t="s">
        <v>14</v>
      </c>
      <c r="R73" s="7">
        <v>19.93972602739726</v>
      </c>
      <c r="S73" t="s">
        <v>14</v>
      </c>
      <c r="T73" t="s">
        <v>14</v>
      </c>
      <c r="U73" t="s">
        <v>27</v>
      </c>
    </row>
    <row r="74" spans="1:21" hidden="1" x14ac:dyDescent="0.25">
      <c r="A74" t="s">
        <v>48</v>
      </c>
      <c r="B74">
        <v>35.733668999999999</v>
      </c>
      <c r="C74">
        <v>-96.908456000000001</v>
      </c>
      <c r="D74" t="s">
        <v>243</v>
      </c>
      <c r="E74" t="s">
        <v>240</v>
      </c>
      <c r="F74" t="s">
        <v>11</v>
      </c>
      <c r="G74" t="s">
        <v>221</v>
      </c>
      <c r="H74">
        <v>99</v>
      </c>
      <c r="I74" t="s">
        <v>15</v>
      </c>
      <c r="J74" t="s">
        <v>186</v>
      </c>
      <c r="K74" t="s">
        <v>15</v>
      </c>
      <c r="L74">
        <v>15</v>
      </c>
      <c r="M74" t="s">
        <v>16</v>
      </c>
      <c r="N74" t="s">
        <v>31</v>
      </c>
      <c r="O74" s="3" t="s">
        <v>186</v>
      </c>
      <c r="P74" s="3" t="s">
        <v>186</v>
      </c>
      <c r="Q74" s="1" t="s">
        <v>186</v>
      </c>
      <c r="R74" s="7" t="s">
        <v>186</v>
      </c>
      <c r="S74" t="s">
        <v>186</v>
      </c>
      <c r="T74" t="s">
        <v>186</v>
      </c>
      <c r="U74" t="s">
        <v>13</v>
      </c>
    </row>
    <row r="75" spans="1:21" hidden="1" x14ac:dyDescent="0.25">
      <c r="A75" t="s">
        <v>48</v>
      </c>
      <c r="B75">
        <v>35.733668999999999</v>
      </c>
      <c r="C75">
        <v>-96.908456000000001</v>
      </c>
      <c r="D75" t="s">
        <v>243</v>
      </c>
      <c r="E75" t="s">
        <v>240</v>
      </c>
      <c r="F75" t="s">
        <v>11</v>
      </c>
      <c r="G75" t="s">
        <v>222</v>
      </c>
      <c r="H75">
        <v>3</v>
      </c>
      <c r="I75" t="s">
        <v>23</v>
      </c>
      <c r="J75" s="4" t="s">
        <v>22</v>
      </c>
      <c r="K75">
        <v>2.8590000000000001E-2</v>
      </c>
      <c r="L75">
        <v>21</v>
      </c>
      <c r="M75" t="s">
        <v>16</v>
      </c>
      <c r="N75" t="s">
        <v>16</v>
      </c>
      <c r="O75" s="3">
        <v>35956</v>
      </c>
      <c r="P75" s="3">
        <v>43010</v>
      </c>
      <c r="Q75" s="1">
        <v>0.85004788198103254</v>
      </c>
      <c r="R75" s="7">
        <v>19.326027397260273</v>
      </c>
      <c r="S75">
        <v>0.65</v>
      </c>
      <c r="T75" s="2">
        <v>1.2025311232876712</v>
      </c>
      <c r="U75" t="s">
        <v>24</v>
      </c>
    </row>
    <row r="76" spans="1:21" hidden="1" x14ac:dyDescent="0.25">
      <c r="A76" t="s">
        <v>48</v>
      </c>
      <c r="B76">
        <v>35.733668999999999</v>
      </c>
      <c r="C76">
        <v>-96.908456000000001</v>
      </c>
      <c r="D76" t="s">
        <v>243</v>
      </c>
      <c r="E76" t="s">
        <v>240</v>
      </c>
      <c r="F76" t="s">
        <v>11</v>
      </c>
      <c r="G76" t="s">
        <v>224</v>
      </c>
      <c r="H76">
        <v>99</v>
      </c>
      <c r="I76" t="s">
        <v>15</v>
      </c>
      <c r="J76" t="s">
        <v>186</v>
      </c>
      <c r="K76" t="s">
        <v>15</v>
      </c>
      <c r="L76">
        <v>13</v>
      </c>
      <c r="M76" t="s">
        <v>16</v>
      </c>
      <c r="N76" t="s">
        <v>17</v>
      </c>
      <c r="O76" s="3" t="s">
        <v>186</v>
      </c>
      <c r="P76" s="3" t="s">
        <v>186</v>
      </c>
      <c r="Q76" s="1" t="s">
        <v>186</v>
      </c>
      <c r="R76" s="7" t="s">
        <v>186</v>
      </c>
      <c r="S76" t="s">
        <v>186</v>
      </c>
      <c r="T76" t="s">
        <v>186</v>
      </c>
      <c r="U76" t="s">
        <v>19</v>
      </c>
    </row>
    <row r="77" spans="1:21" hidden="1" x14ac:dyDescent="0.25">
      <c r="A77" t="s">
        <v>48</v>
      </c>
      <c r="B77">
        <v>35.733668999999999</v>
      </c>
      <c r="C77">
        <v>-96.908456000000001</v>
      </c>
      <c r="D77" t="s">
        <v>243</v>
      </c>
      <c r="E77" t="s">
        <v>240</v>
      </c>
      <c r="F77" t="s">
        <v>11</v>
      </c>
      <c r="G77" t="s">
        <v>225</v>
      </c>
      <c r="H77">
        <v>3</v>
      </c>
      <c r="I77" t="s">
        <v>23</v>
      </c>
      <c r="J77" t="s">
        <v>22</v>
      </c>
      <c r="K77" s="2">
        <v>6.577</v>
      </c>
      <c r="L77">
        <v>16</v>
      </c>
      <c r="M77" t="s">
        <v>16</v>
      </c>
      <c r="N77" t="s">
        <v>33</v>
      </c>
      <c r="O77" s="3">
        <v>35956</v>
      </c>
      <c r="P77" s="3">
        <v>43010</v>
      </c>
      <c r="Q77" s="1">
        <v>0.5296136757990868</v>
      </c>
      <c r="R77" s="7">
        <v>19.326027397260273</v>
      </c>
      <c r="S77">
        <v>240</v>
      </c>
      <c r="T77" s="2">
        <v>367.10728219178083</v>
      </c>
      <c r="U77" t="s">
        <v>21</v>
      </c>
    </row>
    <row r="78" spans="1:21" hidden="1" x14ac:dyDescent="0.25">
      <c r="A78" t="s">
        <v>48</v>
      </c>
      <c r="B78">
        <v>35.733668999999999</v>
      </c>
      <c r="C78">
        <v>-96.908456000000001</v>
      </c>
      <c r="D78" t="s">
        <v>243</v>
      </c>
      <c r="E78" t="s">
        <v>240</v>
      </c>
      <c r="F78" t="s">
        <v>11</v>
      </c>
      <c r="G78" t="s">
        <v>223</v>
      </c>
      <c r="H78">
        <v>3</v>
      </c>
      <c r="I78" t="s">
        <v>23</v>
      </c>
      <c r="J78" s="4" t="s">
        <v>22</v>
      </c>
      <c r="K78">
        <v>9.1480000000000001E-4</v>
      </c>
      <c r="L78">
        <v>21</v>
      </c>
      <c r="M78" t="s">
        <v>16</v>
      </c>
      <c r="N78" t="s">
        <v>16</v>
      </c>
      <c r="O78" s="3">
        <v>35956</v>
      </c>
      <c r="P78" s="3">
        <v>43010</v>
      </c>
      <c r="Q78" s="1">
        <v>0.63140892367906065</v>
      </c>
      <c r="R78" s="7">
        <v>19.326027397260273</v>
      </c>
      <c r="S78">
        <v>2.8000000000000001E-2</v>
      </c>
      <c r="T78" s="2">
        <v>4.5679449863013699E-2</v>
      </c>
      <c r="U78" t="s">
        <v>24</v>
      </c>
    </row>
    <row r="79" spans="1:21" hidden="1" x14ac:dyDescent="0.25">
      <c r="A79" t="s">
        <v>48</v>
      </c>
      <c r="B79">
        <v>35.733668999999999</v>
      </c>
      <c r="C79">
        <v>-96.908456000000001</v>
      </c>
      <c r="D79" t="s">
        <v>243</v>
      </c>
      <c r="E79" t="s">
        <v>240</v>
      </c>
      <c r="F79" t="s">
        <v>11</v>
      </c>
      <c r="G79" t="s">
        <v>226</v>
      </c>
      <c r="H79">
        <v>99</v>
      </c>
      <c r="I79" t="s">
        <v>15</v>
      </c>
      <c r="J79" t="s">
        <v>186</v>
      </c>
      <c r="K79" t="s">
        <v>15</v>
      </c>
      <c r="L79">
        <v>12</v>
      </c>
      <c r="M79" t="s">
        <v>16</v>
      </c>
      <c r="N79" t="s">
        <v>31</v>
      </c>
      <c r="O79" s="3" t="s">
        <v>186</v>
      </c>
      <c r="P79" s="3" t="s">
        <v>186</v>
      </c>
      <c r="Q79" s="1" t="s">
        <v>186</v>
      </c>
      <c r="R79" s="7" t="s">
        <v>186</v>
      </c>
      <c r="S79" t="s">
        <v>186</v>
      </c>
      <c r="T79" t="s">
        <v>186</v>
      </c>
      <c r="U79" t="s">
        <v>27</v>
      </c>
    </row>
    <row r="80" spans="1:21" hidden="1" x14ac:dyDescent="0.25">
      <c r="A80" t="s">
        <v>49</v>
      </c>
      <c r="B80">
        <v>35.131988999999997</v>
      </c>
      <c r="C80">
        <v>-98.132893999999993</v>
      </c>
      <c r="D80" t="s">
        <v>249</v>
      </c>
      <c r="E80" t="s">
        <v>240</v>
      </c>
      <c r="F80" t="s">
        <v>11</v>
      </c>
      <c r="G80" t="s">
        <v>221</v>
      </c>
      <c r="H80">
        <v>0</v>
      </c>
      <c r="I80" t="s">
        <v>15</v>
      </c>
      <c r="J80" t="s">
        <v>14</v>
      </c>
      <c r="K80" t="s">
        <v>15</v>
      </c>
      <c r="L80">
        <v>32</v>
      </c>
      <c r="M80" t="s">
        <v>16</v>
      </c>
      <c r="N80" t="s">
        <v>17</v>
      </c>
      <c r="O80" s="3">
        <v>37740</v>
      </c>
      <c r="P80" s="3">
        <v>44466</v>
      </c>
      <c r="Q80" s="1" t="s">
        <v>14</v>
      </c>
      <c r="R80" s="7">
        <v>18.427397260273974</v>
      </c>
      <c r="S80" t="s">
        <v>14</v>
      </c>
      <c r="T80" t="s">
        <v>14</v>
      </c>
      <c r="U80" t="s">
        <v>13</v>
      </c>
    </row>
    <row r="81" spans="1:21" hidden="1" x14ac:dyDescent="0.25">
      <c r="A81" t="s">
        <v>49</v>
      </c>
      <c r="B81">
        <v>35.131988999999997</v>
      </c>
      <c r="C81">
        <v>-98.132893999999993</v>
      </c>
      <c r="D81" t="s">
        <v>249</v>
      </c>
      <c r="E81" t="s">
        <v>240</v>
      </c>
      <c r="F81" t="s">
        <v>11</v>
      </c>
      <c r="G81" t="s">
        <v>222</v>
      </c>
      <c r="H81">
        <v>0</v>
      </c>
      <c r="I81" t="s">
        <v>15</v>
      </c>
      <c r="J81" t="s">
        <v>14</v>
      </c>
      <c r="K81" t="s">
        <v>15</v>
      </c>
      <c r="L81">
        <v>36</v>
      </c>
      <c r="M81" t="s">
        <v>17</v>
      </c>
      <c r="N81" t="s">
        <v>16</v>
      </c>
      <c r="O81" s="3">
        <v>36479</v>
      </c>
      <c r="P81" s="3">
        <v>44466</v>
      </c>
      <c r="Q81" s="1" t="s">
        <v>14</v>
      </c>
      <c r="R81" s="7">
        <v>21.882191780821916</v>
      </c>
      <c r="S81" t="s">
        <v>14</v>
      </c>
      <c r="T81" t="s">
        <v>14</v>
      </c>
      <c r="U81" t="s">
        <v>24</v>
      </c>
    </row>
    <row r="82" spans="1:21" hidden="1" x14ac:dyDescent="0.25">
      <c r="A82" t="s">
        <v>49</v>
      </c>
      <c r="B82">
        <v>35.131988999999997</v>
      </c>
      <c r="C82">
        <v>-98.132893999999993</v>
      </c>
      <c r="D82" t="s">
        <v>249</v>
      </c>
      <c r="E82" t="s">
        <v>240</v>
      </c>
      <c r="F82" t="s">
        <v>11</v>
      </c>
      <c r="G82" t="s">
        <v>224</v>
      </c>
      <c r="H82">
        <v>0</v>
      </c>
      <c r="I82" t="s">
        <v>15</v>
      </c>
      <c r="J82" t="s">
        <v>14</v>
      </c>
      <c r="K82" t="s">
        <v>15</v>
      </c>
      <c r="L82">
        <v>25</v>
      </c>
      <c r="M82" t="s">
        <v>16</v>
      </c>
      <c r="N82" t="s">
        <v>17</v>
      </c>
      <c r="O82" s="3">
        <v>39034</v>
      </c>
      <c r="P82" s="3">
        <v>44466</v>
      </c>
      <c r="Q82" s="1" t="s">
        <v>14</v>
      </c>
      <c r="R82" s="7">
        <v>14.882191780821918</v>
      </c>
      <c r="S82" t="s">
        <v>14</v>
      </c>
      <c r="T82" t="s">
        <v>14</v>
      </c>
      <c r="U82" t="s">
        <v>19</v>
      </c>
    </row>
    <row r="83" spans="1:21" hidden="1" x14ac:dyDescent="0.25">
      <c r="A83" t="s">
        <v>49</v>
      </c>
      <c r="B83">
        <v>35.131988999999997</v>
      </c>
      <c r="C83">
        <v>-98.132893999999993</v>
      </c>
      <c r="D83" t="s">
        <v>249</v>
      </c>
      <c r="E83" t="s">
        <v>240</v>
      </c>
      <c r="F83" t="s">
        <v>11</v>
      </c>
      <c r="G83" t="s">
        <v>225</v>
      </c>
      <c r="H83">
        <v>3</v>
      </c>
      <c r="I83" t="s">
        <v>23</v>
      </c>
      <c r="J83" t="s">
        <v>22</v>
      </c>
      <c r="K83" s="2">
        <v>29.78</v>
      </c>
      <c r="L83">
        <v>32</v>
      </c>
      <c r="M83" t="s">
        <v>17</v>
      </c>
      <c r="N83" t="s">
        <v>17</v>
      </c>
      <c r="O83" s="3">
        <v>36479</v>
      </c>
      <c r="P83" s="3">
        <v>44466</v>
      </c>
      <c r="Q83" s="1">
        <v>0.32582583561643835</v>
      </c>
      <c r="R83" s="7">
        <v>21.882191780821916</v>
      </c>
      <c r="S83">
        <v>2000</v>
      </c>
      <c r="T83" s="2">
        <v>2651.6516712328767</v>
      </c>
      <c r="U83" t="s">
        <v>21</v>
      </c>
    </row>
    <row r="84" spans="1:21" hidden="1" x14ac:dyDescent="0.25">
      <c r="A84" t="s">
        <v>49</v>
      </c>
      <c r="B84">
        <v>35.131988999999997</v>
      </c>
      <c r="C84">
        <v>-98.132893999999993</v>
      </c>
      <c r="D84" t="s">
        <v>249</v>
      </c>
      <c r="E84" t="s">
        <v>240</v>
      </c>
      <c r="F84" t="s">
        <v>11</v>
      </c>
      <c r="G84" t="s">
        <v>223</v>
      </c>
      <c r="H84">
        <v>-2</v>
      </c>
      <c r="I84" t="s">
        <v>29</v>
      </c>
      <c r="J84" s="4" t="s">
        <v>34</v>
      </c>
      <c r="K84">
        <v>-7.7820000000000005E-4</v>
      </c>
      <c r="L84">
        <v>35</v>
      </c>
      <c r="M84" t="s">
        <v>16</v>
      </c>
      <c r="N84" t="s">
        <v>17</v>
      </c>
      <c r="O84" s="3">
        <v>36479</v>
      </c>
      <c r="P84" s="3">
        <v>44466</v>
      </c>
      <c r="Q84" s="1">
        <v>-0.34752493150684938</v>
      </c>
      <c r="R84" s="7">
        <v>21.882191780821916</v>
      </c>
      <c r="S84">
        <v>4.9000000000000002E-2</v>
      </c>
      <c r="T84" s="2">
        <v>3.1971278356164382E-2</v>
      </c>
      <c r="U84" t="s">
        <v>24</v>
      </c>
    </row>
    <row r="85" spans="1:21" hidden="1" x14ac:dyDescent="0.25">
      <c r="A85" t="s">
        <v>49</v>
      </c>
      <c r="B85">
        <v>35.131988999999997</v>
      </c>
      <c r="C85">
        <v>-98.132893999999993</v>
      </c>
      <c r="D85" t="s">
        <v>249</v>
      </c>
      <c r="E85" t="s">
        <v>240</v>
      </c>
      <c r="F85" t="s">
        <v>11</v>
      </c>
      <c r="G85" t="s">
        <v>226</v>
      </c>
      <c r="H85">
        <v>-2</v>
      </c>
      <c r="I85" t="s">
        <v>29</v>
      </c>
      <c r="J85" s="5" t="s">
        <v>34</v>
      </c>
      <c r="K85">
        <v>-0.28339999999999999</v>
      </c>
      <c r="L85">
        <v>30</v>
      </c>
      <c r="M85" t="s">
        <v>17</v>
      </c>
      <c r="N85" t="s">
        <v>17</v>
      </c>
      <c r="O85" s="3">
        <v>38252</v>
      </c>
      <c r="P85" s="3">
        <v>44466</v>
      </c>
      <c r="Q85" s="1">
        <v>-0.40206566210045658</v>
      </c>
      <c r="R85" s="7">
        <v>17.024657534246575</v>
      </c>
      <c r="S85">
        <v>12</v>
      </c>
      <c r="T85" s="2">
        <v>7.1752120547945211</v>
      </c>
      <c r="U85" t="s">
        <v>27</v>
      </c>
    </row>
    <row r="86" spans="1:21" hidden="1" x14ac:dyDescent="0.25">
      <c r="A86" t="s">
        <v>50</v>
      </c>
      <c r="B86">
        <v>36.325136000000001</v>
      </c>
      <c r="C86">
        <v>-95.579577999999998</v>
      </c>
      <c r="D86" t="s">
        <v>250</v>
      </c>
      <c r="E86" t="s">
        <v>240</v>
      </c>
      <c r="F86" t="s">
        <v>11</v>
      </c>
      <c r="G86" t="s">
        <v>221</v>
      </c>
      <c r="H86">
        <v>0</v>
      </c>
      <c r="I86" t="s">
        <v>15</v>
      </c>
      <c r="J86" s="4" t="s">
        <v>14</v>
      </c>
      <c r="K86" t="s">
        <v>15</v>
      </c>
      <c r="L86">
        <v>23</v>
      </c>
      <c r="M86" t="s">
        <v>16</v>
      </c>
      <c r="N86" t="s">
        <v>17</v>
      </c>
      <c r="O86" s="3">
        <v>37866</v>
      </c>
      <c r="P86" s="3">
        <v>44844</v>
      </c>
      <c r="Q86" s="1" t="s">
        <v>14</v>
      </c>
      <c r="R86" s="7">
        <v>19.117808219178084</v>
      </c>
      <c r="S86" t="s">
        <v>14</v>
      </c>
      <c r="T86" t="s">
        <v>14</v>
      </c>
      <c r="U86" t="s">
        <v>13</v>
      </c>
    </row>
    <row r="87" spans="1:21" hidden="1" x14ac:dyDescent="0.25">
      <c r="A87" t="s">
        <v>50</v>
      </c>
      <c r="B87">
        <v>36.325136000000001</v>
      </c>
      <c r="C87">
        <v>-95.579577999999998</v>
      </c>
      <c r="D87" t="s">
        <v>250</v>
      </c>
      <c r="E87" t="s">
        <v>240</v>
      </c>
      <c r="F87" t="s">
        <v>11</v>
      </c>
      <c r="G87" t="s">
        <v>222</v>
      </c>
      <c r="H87">
        <v>2</v>
      </c>
      <c r="I87" t="s">
        <v>23</v>
      </c>
      <c r="J87" s="5" t="s">
        <v>38</v>
      </c>
      <c r="K87">
        <v>1.1650000000000001E-2</v>
      </c>
      <c r="L87">
        <v>26</v>
      </c>
      <c r="M87" t="s">
        <v>16</v>
      </c>
      <c r="N87" t="s">
        <v>17</v>
      </c>
      <c r="O87" s="3">
        <v>37165</v>
      </c>
      <c r="P87" s="3">
        <v>44844</v>
      </c>
      <c r="Q87" s="1">
        <v>0.27232983257229842</v>
      </c>
      <c r="R87" s="7">
        <v>21.038356164383561</v>
      </c>
      <c r="S87">
        <v>0.9</v>
      </c>
      <c r="T87" s="2">
        <v>1.1450968493150686</v>
      </c>
      <c r="U87" t="s">
        <v>24</v>
      </c>
    </row>
    <row r="88" spans="1:21" hidden="1" x14ac:dyDescent="0.25">
      <c r="A88" t="s">
        <v>50</v>
      </c>
      <c r="B88">
        <v>36.325136000000001</v>
      </c>
      <c r="C88">
        <v>-95.579577999999998</v>
      </c>
      <c r="D88" t="s">
        <v>250</v>
      </c>
      <c r="E88" t="s">
        <v>240</v>
      </c>
      <c r="F88" t="s">
        <v>11</v>
      </c>
      <c r="G88" t="s">
        <v>224</v>
      </c>
      <c r="H88">
        <v>0</v>
      </c>
      <c r="I88" t="s">
        <v>15</v>
      </c>
      <c r="J88" t="s">
        <v>14</v>
      </c>
      <c r="K88" t="s">
        <v>15</v>
      </c>
      <c r="L88">
        <v>24</v>
      </c>
      <c r="M88" t="s">
        <v>16</v>
      </c>
      <c r="N88" t="s">
        <v>31</v>
      </c>
      <c r="O88" s="3">
        <v>37165</v>
      </c>
      <c r="P88" s="3">
        <v>44844</v>
      </c>
      <c r="Q88" s="1" t="s">
        <v>14</v>
      </c>
      <c r="R88" s="7">
        <v>21.038356164383561</v>
      </c>
      <c r="S88" t="s">
        <v>14</v>
      </c>
      <c r="T88" t="s">
        <v>14</v>
      </c>
      <c r="U88" t="s">
        <v>19</v>
      </c>
    </row>
    <row r="89" spans="1:21" hidden="1" x14ac:dyDescent="0.25">
      <c r="A89" t="s">
        <v>50</v>
      </c>
      <c r="B89">
        <v>36.325136000000001</v>
      </c>
      <c r="C89">
        <v>-95.579577999999998</v>
      </c>
      <c r="D89" t="s">
        <v>250</v>
      </c>
      <c r="E89" t="s">
        <v>240</v>
      </c>
      <c r="F89" t="s">
        <v>11</v>
      </c>
      <c r="G89" t="s">
        <v>225</v>
      </c>
      <c r="H89">
        <v>0</v>
      </c>
      <c r="I89" t="s">
        <v>15</v>
      </c>
      <c r="J89" t="s">
        <v>14</v>
      </c>
      <c r="K89" s="2" t="s">
        <v>15</v>
      </c>
      <c r="L89">
        <v>22</v>
      </c>
      <c r="M89" t="s">
        <v>16</v>
      </c>
      <c r="N89" t="s">
        <v>17</v>
      </c>
      <c r="O89" s="3">
        <v>37184</v>
      </c>
      <c r="P89" s="3">
        <v>44803</v>
      </c>
      <c r="Q89" s="1" t="s">
        <v>14</v>
      </c>
      <c r="R89" s="7">
        <v>20.873972602739727</v>
      </c>
      <c r="S89" t="s">
        <v>14</v>
      </c>
      <c r="T89" t="s">
        <v>14</v>
      </c>
      <c r="U89" t="s">
        <v>21</v>
      </c>
    </row>
    <row r="90" spans="1:21" hidden="1" x14ac:dyDescent="0.25">
      <c r="A90" t="s">
        <v>50</v>
      </c>
      <c r="B90">
        <v>36.325136000000001</v>
      </c>
      <c r="C90">
        <v>-95.579577999999998</v>
      </c>
      <c r="D90" t="s">
        <v>250</v>
      </c>
      <c r="E90" t="s">
        <v>240</v>
      </c>
      <c r="F90" t="s">
        <v>11</v>
      </c>
      <c r="G90" t="s">
        <v>223</v>
      </c>
      <c r="H90">
        <v>0</v>
      </c>
      <c r="I90" t="s">
        <v>15</v>
      </c>
      <c r="J90" t="s">
        <v>14</v>
      </c>
      <c r="K90" t="s">
        <v>15</v>
      </c>
      <c r="L90">
        <v>26</v>
      </c>
      <c r="M90" t="s">
        <v>16</v>
      </c>
      <c r="N90" t="s">
        <v>17</v>
      </c>
      <c r="O90" s="3">
        <v>37165</v>
      </c>
      <c r="P90" s="3">
        <v>44844</v>
      </c>
      <c r="Q90" s="1" t="s">
        <v>14</v>
      </c>
      <c r="R90" s="7">
        <v>21.038356164383561</v>
      </c>
      <c r="S90" t="s">
        <v>14</v>
      </c>
      <c r="T90" t="s">
        <v>14</v>
      </c>
      <c r="U90" t="s">
        <v>24</v>
      </c>
    </row>
    <row r="91" spans="1:21" hidden="1" x14ac:dyDescent="0.25">
      <c r="A91" t="s">
        <v>50</v>
      </c>
      <c r="B91">
        <v>36.325136000000001</v>
      </c>
      <c r="C91">
        <v>-95.579577999999998</v>
      </c>
      <c r="D91" t="s">
        <v>250</v>
      </c>
      <c r="E91" t="s">
        <v>240</v>
      </c>
      <c r="F91" t="s">
        <v>11</v>
      </c>
      <c r="G91" t="s">
        <v>226</v>
      </c>
      <c r="H91">
        <v>0</v>
      </c>
      <c r="I91" t="s">
        <v>15</v>
      </c>
      <c r="J91" t="s">
        <v>14</v>
      </c>
      <c r="K91" t="s">
        <v>15</v>
      </c>
      <c r="L91">
        <v>24</v>
      </c>
      <c r="M91" t="s">
        <v>17</v>
      </c>
      <c r="N91" t="s">
        <v>17</v>
      </c>
      <c r="O91" s="3">
        <v>37165</v>
      </c>
      <c r="P91" s="3">
        <v>44844</v>
      </c>
      <c r="Q91" s="1" t="s">
        <v>14</v>
      </c>
      <c r="R91" s="7">
        <v>21.038356164383561</v>
      </c>
      <c r="S91" t="s">
        <v>14</v>
      </c>
      <c r="T91" t="s">
        <v>14</v>
      </c>
      <c r="U91" t="s">
        <v>27</v>
      </c>
    </row>
    <row r="92" spans="1:21" hidden="1" x14ac:dyDescent="0.25">
      <c r="A92" t="s">
        <v>51</v>
      </c>
      <c r="B92">
        <v>34.585278000000002</v>
      </c>
      <c r="C92">
        <v>-97.840833000000003</v>
      </c>
      <c r="D92" t="s">
        <v>251</v>
      </c>
      <c r="E92" t="s">
        <v>240</v>
      </c>
      <c r="F92" t="s">
        <v>11</v>
      </c>
      <c r="G92" t="s">
        <v>221</v>
      </c>
      <c r="H92">
        <v>3</v>
      </c>
      <c r="I92" t="s">
        <v>23</v>
      </c>
      <c r="J92" s="4" t="s">
        <v>22</v>
      </c>
      <c r="K92">
        <v>0.59989999999999999</v>
      </c>
      <c r="L92">
        <v>28</v>
      </c>
      <c r="M92" t="s">
        <v>16</v>
      </c>
      <c r="N92" t="s">
        <v>17</v>
      </c>
      <c r="O92" s="3">
        <v>37580</v>
      </c>
      <c r="P92" s="3">
        <v>44500</v>
      </c>
      <c r="Q92" s="1">
        <v>1.2637162861491629</v>
      </c>
      <c r="R92" s="7">
        <v>18.958904109589042</v>
      </c>
      <c r="S92">
        <v>9</v>
      </c>
      <c r="T92" s="2">
        <v>20.373446575342467</v>
      </c>
      <c r="U92" t="s">
        <v>13</v>
      </c>
    </row>
    <row r="93" spans="1:21" hidden="1" x14ac:dyDescent="0.25">
      <c r="A93" t="s">
        <v>51</v>
      </c>
      <c r="B93">
        <v>34.585278000000002</v>
      </c>
      <c r="C93">
        <v>-97.840833000000003</v>
      </c>
      <c r="D93" t="s">
        <v>251</v>
      </c>
      <c r="E93" t="s">
        <v>240</v>
      </c>
      <c r="F93" t="s">
        <v>11</v>
      </c>
      <c r="G93" t="s">
        <v>222</v>
      </c>
      <c r="H93">
        <v>3</v>
      </c>
      <c r="I93" t="s">
        <v>23</v>
      </c>
      <c r="J93" s="4" t="s">
        <v>22</v>
      </c>
      <c r="K93">
        <v>1.2189999999999999E-2</v>
      </c>
      <c r="L93">
        <v>33</v>
      </c>
      <c r="M93" t="s">
        <v>16</v>
      </c>
      <c r="N93" t="s">
        <v>17</v>
      </c>
      <c r="O93" s="3">
        <v>36836</v>
      </c>
      <c r="P93" s="3">
        <v>44466</v>
      </c>
      <c r="Q93" s="1">
        <v>0.36403013698630132</v>
      </c>
      <c r="R93" s="7">
        <v>20.904109589041095</v>
      </c>
      <c r="S93">
        <v>0.7</v>
      </c>
      <c r="T93" s="2">
        <v>0.95482109589041086</v>
      </c>
      <c r="U93" t="s">
        <v>24</v>
      </c>
    </row>
    <row r="94" spans="1:21" hidden="1" x14ac:dyDescent="0.25">
      <c r="A94" t="s">
        <v>51</v>
      </c>
      <c r="B94">
        <v>34.585278000000002</v>
      </c>
      <c r="C94">
        <v>-97.840833000000003</v>
      </c>
      <c r="D94" t="s">
        <v>251</v>
      </c>
      <c r="E94" t="s">
        <v>240</v>
      </c>
      <c r="F94" t="s">
        <v>11</v>
      </c>
      <c r="G94" t="s">
        <v>224</v>
      </c>
      <c r="H94">
        <v>1</v>
      </c>
      <c r="I94" t="s">
        <v>23</v>
      </c>
      <c r="J94" s="4" t="s">
        <v>40</v>
      </c>
      <c r="K94">
        <v>1.6679999999999999</v>
      </c>
      <c r="L94">
        <v>24</v>
      </c>
      <c r="M94" t="s">
        <v>16</v>
      </c>
      <c r="N94" t="s">
        <v>17</v>
      </c>
      <c r="O94" s="3">
        <v>36836</v>
      </c>
      <c r="P94" s="3">
        <v>44466</v>
      </c>
      <c r="Q94" s="1">
        <v>0.69736109589041095</v>
      </c>
      <c r="R94" s="7">
        <v>20.904109589041095</v>
      </c>
      <c r="S94">
        <v>50</v>
      </c>
      <c r="T94" s="2">
        <v>84.868054794520546</v>
      </c>
      <c r="U94" t="s">
        <v>19</v>
      </c>
    </row>
    <row r="95" spans="1:21" hidden="1" x14ac:dyDescent="0.25">
      <c r="A95" t="s">
        <v>51</v>
      </c>
      <c r="B95">
        <v>34.585278000000002</v>
      </c>
      <c r="C95">
        <v>-97.840833000000003</v>
      </c>
      <c r="D95" t="s">
        <v>251</v>
      </c>
      <c r="E95" t="s">
        <v>240</v>
      </c>
      <c r="F95" t="s">
        <v>11</v>
      </c>
      <c r="G95" t="s">
        <v>225</v>
      </c>
      <c r="H95">
        <v>3</v>
      </c>
      <c r="I95" t="s">
        <v>23</v>
      </c>
      <c r="J95" t="s">
        <v>22</v>
      </c>
      <c r="K95" s="2">
        <v>4.8520000000000003</v>
      </c>
      <c r="L95">
        <v>33</v>
      </c>
      <c r="M95" t="s">
        <v>16</v>
      </c>
      <c r="N95" t="s">
        <v>16</v>
      </c>
      <c r="O95" s="3">
        <v>36836</v>
      </c>
      <c r="P95" s="3">
        <v>44411</v>
      </c>
      <c r="Q95" s="1">
        <v>0.1678260273972603</v>
      </c>
      <c r="R95" s="7">
        <v>20.753424657534246</v>
      </c>
      <c r="S95">
        <v>600</v>
      </c>
      <c r="T95" s="2">
        <v>700.69561643835618</v>
      </c>
      <c r="U95" t="s">
        <v>21</v>
      </c>
    </row>
    <row r="96" spans="1:21" hidden="1" x14ac:dyDescent="0.25">
      <c r="A96" t="s">
        <v>51</v>
      </c>
      <c r="B96">
        <v>34.585278000000002</v>
      </c>
      <c r="C96">
        <v>-97.840833000000003</v>
      </c>
      <c r="D96" t="s">
        <v>251</v>
      </c>
      <c r="E96" t="s">
        <v>240</v>
      </c>
      <c r="F96" t="s">
        <v>11</v>
      </c>
      <c r="G96" t="s">
        <v>223</v>
      </c>
      <c r="H96">
        <v>0</v>
      </c>
      <c r="I96" t="s">
        <v>15</v>
      </c>
      <c r="J96" t="s">
        <v>14</v>
      </c>
      <c r="K96" t="s">
        <v>15</v>
      </c>
      <c r="L96">
        <v>33</v>
      </c>
      <c r="M96" t="s">
        <v>16</v>
      </c>
      <c r="N96" t="s">
        <v>17</v>
      </c>
      <c r="O96" s="3">
        <v>36836</v>
      </c>
      <c r="P96" s="3">
        <v>44466</v>
      </c>
      <c r="Q96" s="1" t="s">
        <v>14</v>
      </c>
      <c r="R96" s="7">
        <v>20.904109589041095</v>
      </c>
      <c r="S96" t="s">
        <v>14</v>
      </c>
      <c r="T96" t="s">
        <v>14</v>
      </c>
      <c r="U96" t="s">
        <v>24</v>
      </c>
    </row>
    <row r="97" spans="1:21" hidden="1" x14ac:dyDescent="0.25">
      <c r="A97" t="s">
        <v>51</v>
      </c>
      <c r="B97">
        <v>34.585278000000002</v>
      </c>
      <c r="C97">
        <v>-97.840833000000003</v>
      </c>
      <c r="D97" t="s">
        <v>251</v>
      </c>
      <c r="E97" t="s">
        <v>240</v>
      </c>
      <c r="F97" t="s">
        <v>11</v>
      </c>
      <c r="G97" t="s">
        <v>226</v>
      </c>
      <c r="H97">
        <v>-1</v>
      </c>
      <c r="I97" t="s">
        <v>29</v>
      </c>
      <c r="J97" s="4" t="s">
        <v>28</v>
      </c>
      <c r="K97">
        <v>-0.1704</v>
      </c>
      <c r="L97">
        <v>29</v>
      </c>
      <c r="M97" t="s">
        <v>33</v>
      </c>
      <c r="N97" t="s">
        <v>17</v>
      </c>
      <c r="O97" s="3">
        <v>36836</v>
      </c>
      <c r="P97" s="3">
        <v>44466</v>
      </c>
      <c r="Q97" s="1">
        <v>-0.35620602739726026</v>
      </c>
      <c r="R97" s="7">
        <v>20.904109589041095</v>
      </c>
      <c r="S97">
        <v>10</v>
      </c>
      <c r="T97" s="2">
        <v>6.4379397260273974</v>
      </c>
      <c r="U97" t="s">
        <v>27</v>
      </c>
    </row>
    <row r="98" spans="1:21" hidden="1" x14ac:dyDescent="0.25">
      <c r="A98" t="s">
        <v>52</v>
      </c>
      <c r="B98">
        <v>35.435214000000002</v>
      </c>
      <c r="C98">
        <v>-99.221255999999997</v>
      </c>
      <c r="D98" t="s">
        <v>252</v>
      </c>
      <c r="E98" t="s">
        <v>240</v>
      </c>
      <c r="F98" t="s">
        <v>11</v>
      </c>
      <c r="G98" t="s">
        <v>221</v>
      </c>
      <c r="H98">
        <v>0</v>
      </c>
      <c r="I98" t="s">
        <v>15</v>
      </c>
      <c r="J98" t="s">
        <v>14</v>
      </c>
      <c r="K98" t="s">
        <v>15</v>
      </c>
      <c r="L98">
        <v>18</v>
      </c>
      <c r="M98" t="s">
        <v>16</v>
      </c>
      <c r="N98" t="s">
        <v>17</v>
      </c>
      <c r="O98" s="3">
        <v>37482</v>
      </c>
      <c r="P98" s="3">
        <v>43327</v>
      </c>
      <c r="Q98" s="1" t="s">
        <v>14</v>
      </c>
      <c r="R98" s="7">
        <v>16.013698630136986</v>
      </c>
      <c r="S98" t="s">
        <v>14</v>
      </c>
      <c r="T98" t="s">
        <v>14</v>
      </c>
      <c r="U98" t="s">
        <v>13</v>
      </c>
    </row>
    <row r="99" spans="1:21" hidden="1" x14ac:dyDescent="0.25">
      <c r="A99" t="s">
        <v>52</v>
      </c>
      <c r="B99">
        <v>35.435214000000002</v>
      </c>
      <c r="C99">
        <v>-99.221255999999997</v>
      </c>
      <c r="D99" t="s">
        <v>252</v>
      </c>
      <c r="E99" t="s">
        <v>240</v>
      </c>
      <c r="F99" t="s">
        <v>11</v>
      </c>
      <c r="G99" t="s">
        <v>222</v>
      </c>
      <c r="H99">
        <v>0</v>
      </c>
      <c r="I99" t="s">
        <v>15</v>
      </c>
      <c r="J99" t="s">
        <v>14</v>
      </c>
      <c r="K99" t="s">
        <v>15</v>
      </c>
      <c r="L99">
        <v>33</v>
      </c>
      <c r="M99" t="s">
        <v>16</v>
      </c>
      <c r="N99" t="s">
        <v>31</v>
      </c>
      <c r="O99" s="3">
        <v>35907</v>
      </c>
      <c r="P99" s="3">
        <v>43327</v>
      </c>
      <c r="Q99" s="1" t="s">
        <v>14</v>
      </c>
      <c r="R99" s="7">
        <v>20.328767123287673</v>
      </c>
      <c r="S99" t="s">
        <v>14</v>
      </c>
      <c r="T99" t="s">
        <v>14</v>
      </c>
      <c r="U99" t="s">
        <v>24</v>
      </c>
    </row>
    <row r="100" spans="1:21" hidden="1" x14ac:dyDescent="0.25">
      <c r="A100" t="s">
        <v>52</v>
      </c>
      <c r="B100">
        <v>35.435214000000002</v>
      </c>
      <c r="C100">
        <v>-99.221255999999997</v>
      </c>
      <c r="D100" t="s">
        <v>252</v>
      </c>
      <c r="E100" t="s">
        <v>240</v>
      </c>
      <c r="F100" t="s">
        <v>11</v>
      </c>
      <c r="G100" t="s">
        <v>224</v>
      </c>
      <c r="H100">
        <v>2</v>
      </c>
      <c r="I100" t="s">
        <v>23</v>
      </c>
      <c r="J100" s="5" t="s">
        <v>38</v>
      </c>
      <c r="K100">
        <v>1.4990000000000001</v>
      </c>
      <c r="L100">
        <v>13</v>
      </c>
      <c r="M100" t="s">
        <v>16</v>
      </c>
      <c r="N100" t="s">
        <v>17</v>
      </c>
      <c r="O100" s="3">
        <v>37214</v>
      </c>
      <c r="P100" s="3">
        <v>43357</v>
      </c>
      <c r="Q100" s="1">
        <v>1.0091350136986301</v>
      </c>
      <c r="R100" s="7">
        <v>16.830136986301369</v>
      </c>
      <c r="S100">
        <v>25</v>
      </c>
      <c r="T100" s="2">
        <v>50.228375342465753</v>
      </c>
      <c r="U100" t="s">
        <v>19</v>
      </c>
    </row>
    <row r="101" spans="1:21" hidden="1" x14ac:dyDescent="0.25">
      <c r="A101" t="s">
        <v>52</v>
      </c>
      <c r="B101">
        <v>35.435214000000002</v>
      </c>
      <c r="C101">
        <v>-99.221255999999997</v>
      </c>
      <c r="D101" t="s">
        <v>252</v>
      </c>
      <c r="E101" t="s">
        <v>240</v>
      </c>
      <c r="F101" t="s">
        <v>11</v>
      </c>
      <c r="G101" t="s">
        <v>225</v>
      </c>
      <c r="H101">
        <v>3</v>
      </c>
      <c r="I101" t="s">
        <v>23</v>
      </c>
      <c r="J101" t="s">
        <v>22</v>
      </c>
      <c r="K101" s="2">
        <v>10.83</v>
      </c>
      <c r="L101">
        <v>21</v>
      </c>
      <c r="M101" t="s">
        <v>16</v>
      </c>
      <c r="N101" t="s">
        <v>33</v>
      </c>
      <c r="O101" s="3">
        <v>35907</v>
      </c>
      <c r="P101" s="3">
        <v>43327</v>
      </c>
      <c r="Q101" s="1">
        <v>0.51200127429117559</v>
      </c>
      <c r="R101" s="7">
        <v>20.328767123287673</v>
      </c>
      <c r="S101">
        <v>430</v>
      </c>
      <c r="T101" s="2">
        <v>650.16054794520551</v>
      </c>
      <c r="U101" t="s">
        <v>21</v>
      </c>
    </row>
    <row r="102" spans="1:21" hidden="1" x14ac:dyDescent="0.25">
      <c r="A102" t="s">
        <v>52</v>
      </c>
      <c r="B102">
        <v>35.435214000000002</v>
      </c>
      <c r="C102">
        <v>-99.221255999999997</v>
      </c>
      <c r="D102" t="s">
        <v>252</v>
      </c>
      <c r="E102" t="s">
        <v>240</v>
      </c>
      <c r="F102" t="s">
        <v>11</v>
      </c>
      <c r="G102" t="s">
        <v>223</v>
      </c>
      <c r="H102">
        <v>0</v>
      </c>
      <c r="I102" t="s">
        <v>15</v>
      </c>
      <c r="J102" t="s">
        <v>14</v>
      </c>
      <c r="K102" t="s">
        <v>15</v>
      </c>
      <c r="L102">
        <v>33</v>
      </c>
      <c r="M102" t="s">
        <v>16</v>
      </c>
      <c r="N102" t="s">
        <v>17</v>
      </c>
      <c r="O102" s="3">
        <v>35907</v>
      </c>
      <c r="P102" s="3">
        <v>43327</v>
      </c>
      <c r="Q102" s="1" t="s">
        <v>14</v>
      </c>
      <c r="R102" s="7">
        <v>20.328767123287673</v>
      </c>
      <c r="S102" t="s">
        <v>14</v>
      </c>
      <c r="T102" t="s">
        <v>14</v>
      </c>
      <c r="U102" t="s">
        <v>24</v>
      </c>
    </row>
    <row r="103" spans="1:21" hidden="1" x14ac:dyDescent="0.25">
      <c r="A103" t="s">
        <v>52</v>
      </c>
      <c r="B103">
        <v>35.435214000000002</v>
      </c>
      <c r="C103">
        <v>-99.221255999999997</v>
      </c>
      <c r="D103" t="s">
        <v>252</v>
      </c>
      <c r="E103" t="s">
        <v>240</v>
      </c>
      <c r="F103" t="s">
        <v>11</v>
      </c>
      <c r="G103" t="s">
        <v>226</v>
      </c>
      <c r="H103">
        <v>99</v>
      </c>
      <c r="I103" t="s">
        <v>15</v>
      </c>
      <c r="J103" s="4" t="s">
        <v>186</v>
      </c>
      <c r="K103" t="s">
        <v>15</v>
      </c>
      <c r="L103">
        <v>13</v>
      </c>
      <c r="M103" t="s">
        <v>16</v>
      </c>
      <c r="N103" t="s">
        <v>17</v>
      </c>
      <c r="O103" s="3" t="s">
        <v>186</v>
      </c>
      <c r="P103" s="3" t="s">
        <v>186</v>
      </c>
      <c r="Q103" s="1" t="s">
        <v>186</v>
      </c>
      <c r="R103" s="7" t="s">
        <v>186</v>
      </c>
      <c r="S103" t="s">
        <v>186</v>
      </c>
      <c r="T103" t="s">
        <v>186</v>
      </c>
      <c r="U103" t="s">
        <v>27</v>
      </c>
    </row>
    <row r="104" spans="1:21" hidden="1" x14ac:dyDescent="0.25">
      <c r="A104" t="s">
        <v>53</v>
      </c>
      <c r="B104">
        <v>34.571750000000002</v>
      </c>
      <c r="C104">
        <v>-96.233131</v>
      </c>
      <c r="D104" t="s">
        <v>253</v>
      </c>
      <c r="E104" t="s">
        <v>240</v>
      </c>
      <c r="F104" t="s">
        <v>11</v>
      </c>
      <c r="G104" t="s">
        <v>221</v>
      </c>
      <c r="H104">
        <v>1</v>
      </c>
      <c r="I104" t="s">
        <v>23</v>
      </c>
      <c r="J104" s="5" t="s">
        <v>40</v>
      </c>
      <c r="K104">
        <v>0.16120000000000001</v>
      </c>
      <c r="L104">
        <v>21</v>
      </c>
      <c r="M104" t="s">
        <v>16</v>
      </c>
      <c r="N104" t="s">
        <v>17</v>
      </c>
      <c r="O104" s="3">
        <v>37914</v>
      </c>
      <c r="P104" s="3">
        <v>44873</v>
      </c>
      <c r="Q104" s="1">
        <v>0.51223324200913234</v>
      </c>
      <c r="R104" s="7">
        <v>19.065753424657533</v>
      </c>
      <c r="S104">
        <v>6</v>
      </c>
      <c r="T104" s="2">
        <v>9.0733994520547938</v>
      </c>
      <c r="U104" t="s">
        <v>13</v>
      </c>
    </row>
    <row r="105" spans="1:21" hidden="1" x14ac:dyDescent="0.25">
      <c r="A105" t="s">
        <v>53</v>
      </c>
      <c r="B105">
        <v>34.571750000000002</v>
      </c>
      <c r="C105">
        <v>-96.233131</v>
      </c>
      <c r="D105" t="s">
        <v>253</v>
      </c>
      <c r="E105" t="s">
        <v>240</v>
      </c>
      <c r="F105" t="s">
        <v>11</v>
      </c>
      <c r="G105" t="s">
        <v>222</v>
      </c>
      <c r="H105">
        <v>0</v>
      </c>
      <c r="I105" t="s">
        <v>15</v>
      </c>
      <c r="J105" t="s">
        <v>14</v>
      </c>
      <c r="K105" t="s">
        <v>15</v>
      </c>
      <c r="L105">
        <v>25</v>
      </c>
      <c r="M105" t="s">
        <v>16</v>
      </c>
      <c r="N105" t="s">
        <v>17</v>
      </c>
      <c r="O105" s="3">
        <v>37211</v>
      </c>
      <c r="P105" s="3">
        <v>44873</v>
      </c>
      <c r="Q105" s="1" t="s">
        <v>14</v>
      </c>
      <c r="R105" s="7">
        <v>20.991780821917807</v>
      </c>
      <c r="S105" t="s">
        <v>14</v>
      </c>
      <c r="T105" t="s">
        <v>14</v>
      </c>
      <c r="U105" t="s">
        <v>24</v>
      </c>
    </row>
    <row r="106" spans="1:21" hidden="1" x14ac:dyDescent="0.25">
      <c r="A106" t="s">
        <v>53</v>
      </c>
      <c r="B106">
        <v>34.571750000000002</v>
      </c>
      <c r="C106">
        <v>-96.233131</v>
      </c>
      <c r="D106" t="s">
        <v>253</v>
      </c>
      <c r="E106" t="s">
        <v>240</v>
      </c>
      <c r="F106" t="s">
        <v>11</v>
      </c>
      <c r="G106" t="s">
        <v>224</v>
      </c>
      <c r="H106">
        <v>0</v>
      </c>
      <c r="I106" t="s">
        <v>15</v>
      </c>
      <c r="J106" t="s">
        <v>14</v>
      </c>
      <c r="K106" t="s">
        <v>15</v>
      </c>
      <c r="L106">
        <v>17</v>
      </c>
      <c r="M106" t="s">
        <v>16</v>
      </c>
      <c r="N106" t="s">
        <v>33</v>
      </c>
      <c r="O106" s="3">
        <v>37201</v>
      </c>
      <c r="P106" s="3">
        <v>44873</v>
      </c>
      <c r="Q106" s="1" t="s">
        <v>14</v>
      </c>
      <c r="R106" s="7">
        <v>21.019178082191782</v>
      </c>
      <c r="S106" t="s">
        <v>14</v>
      </c>
      <c r="T106" t="s">
        <v>14</v>
      </c>
      <c r="U106" t="s">
        <v>19</v>
      </c>
    </row>
    <row r="107" spans="1:21" hidden="1" x14ac:dyDescent="0.25">
      <c r="A107" t="s">
        <v>53</v>
      </c>
      <c r="B107">
        <v>34.571750000000002</v>
      </c>
      <c r="C107">
        <v>-96.233131</v>
      </c>
      <c r="D107" t="s">
        <v>253</v>
      </c>
      <c r="E107" t="s">
        <v>240</v>
      </c>
      <c r="F107" t="s">
        <v>11</v>
      </c>
      <c r="G107" t="s">
        <v>225</v>
      </c>
      <c r="H107">
        <v>3</v>
      </c>
      <c r="I107" t="s">
        <v>23</v>
      </c>
      <c r="J107" t="s">
        <v>22</v>
      </c>
      <c r="K107" s="2">
        <v>2.8</v>
      </c>
      <c r="L107">
        <v>20</v>
      </c>
      <c r="M107" t="s">
        <v>16</v>
      </c>
      <c r="N107" t="s">
        <v>16</v>
      </c>
      <c r="O107" s="3">
        <v>37201</v>
      </c>
      <c r="P107" s="3">
        <v>44827</v>
      </c>
      <c r="Q107" s="1">
        <v>1.0636513075965128</v>
      </c>
      <c r="R107" s="7">
        <v>20.893150684931506</v>
      </c>
      <c r="S107">
        <v>55</v>
      </c>
      <c r="T107" s="2">
        <v>113.50082191780821</v>
      </c>
      <c r="U107" t="s">
        <v>21</v>
      </c>
    </row>
    <row r="108" spans="1:21" hidden="1" x14ac:dyDescent="0.25">
      <c r="A108" t="s">
        <v>53</v>
      </c>
      <c r="B108">
        <v>34.571750000000002</v>
      </c>
      <c r="C108">
        <v>-96.233131</v>
      </c>
      <c r="D108" t="s">
        <v>253</v>
      </c>
      <c r="E108" t="s">
        <v>240</v>
      </c>
      <c r="F108" t="s">
        <v>11</v>
      </c>
      <c r="G108" t="s">
        <v>223</v>
      </c>
      <c r="H108">
        <v>-1</v>
      </c>
      <c r="I108" t="s">
        <v>29</v>
      </c>
      <c r="J108" t="s">
        <v>28</v>
      </c>
      <c r="K108">
        <v>-1.147E-3</v>
      </c>
      <c r="L108">
        <v>25</v>
      </c>
      <c r="M108" t="s">
        <v>16</v>
      </c>
      <c r="N108" t="s">
        <v>16</v>
      </c>
      <c r="O108" s="3">
        <v>37201</v>
      </c>
      <c r="P108" s="3">
        <v>44911</v>
      </c>
      <c r="Q108" s="1">
        <v>-0.25503590483056965</v>
      </c>
      <c r="R108" s="7">
        <v>21.123287671232877</v>
      </c>
      <c r="S108">
        <v>9.5000000000000001E-2</v>
      </c>
      <c r="T108" s="2">
        <v>7.0771589041095886E-2</v>
      </c>
      <c r="U108" t="s">
        <v>24</v>
      </c>
    </row>
    <row r="109" spans="1:21" hidden="1" x14ac:dyDescent="0.25">
      <c r="A109" t="s">
        <v>53</v>
      </c>
      <c r="B109">
        <v>34.571750000000002</v>
      </c>
      <c r="C109">
        <v>-96.233131</v>
      </c>
      <c r="D109" t="s">
        <v>253</v>
      </c>
      <c r="E109" t="s">
        <v>240</v>
      </c>
      <c r="F109" t="s">
        <v>11</v>
      </c>
      <c r="G109" t="s">
        <v>226</v>
      </c>
      <c r="H109">
        <v>-2</v>
      </c>
      <c r="I109" t="s">
        <v>29</v>
      </c>
      <c r="J109" s="4" t="s">
        <v>34</v>
      </c>
      <c r="K109">
        <v>-2.194</v>
      </c>
      <c r="L109">
        <v>21</v>
      </c>
      <c r="M109" t="s">
        <v>16</v>
      </c>
      <c r="N109" t="s">
        <v>17</v>
      </c>
      <c r="O109" s="3">
        <v>37201</v>
      </c>
      <c r="P109" s="3">
        <v>44873</v>
      </c>
      <c r="Q109" s="1">
        <v>-0.56239117941864358</v>
      </c>
      <c r="R109" s="7">
        <v>21.019178082191782</v>
      </c>
      <c r="S109">
        <v>82</v>
      </c>
      <c r="T109" s="2">
        <v>35.88392328767123</v>
      </c>
      <c r="U109" t="s">
        <v>27</v>
      </c>
    </row>
    <row r="110" spans="1:21" hidden="1" x14ac:dyDescent="0.25">
      <c r="A110" t="s">
        <v>54</v>
      </c>
      <c r="B110">
        <v>36.886408000000003</v>
      </c>
      <c r="C110">
        <v>-95.967894000000001</v>
      </c>
      <c r="D110" t="s">
        <v>254</v>
      </c>
      <c r="E110" t="s">
        <v>240</v>
      </c>
      <c r="F110" t="s">
        <v>11</v>
      </c>
      <c r="G110" t="s">
        <v>221</v>
      </c>
      <c r="H110">
        <v>0</v>
      </c>
      <c r="I110" t="s">
        <v>15</v>
      </c>
      <c r="J110" t="s">
        <v>14</v>
      </c>
      <c r="K110" t="s">
        <v>15</v>
      </c>
      <c r="L110">
        <v>22</v>
      </c>
      <c r="M110" t="s">
        <v>33</v>
      </c>
      <c r="N110" t="s">
        <v>17</v>
      </c>
      <c r="O110" s="3">
        <v>37634</v>
      </c>
      <c r="P110" s="3">
        <v>43885</v>
      </c>
      <c r="Q110" s="1" t="s">
        <v>14</v>
      </c>
      <c r="R110" s="7">
        <v>17.126027397260273</v>
      </c>
      <c r="S110" t="s">
        <v>14</v>
      </c>
      <c r="T110" t="s">
        <v>14</v>
      </c>
      <c r="U110" t="s">
        <v>13</v>
      </c>
    </row>
    <row r="111" spans="1:21" hidden="1" x14ac:dyDescent="0.25">
      <c r="A111" t="s">
        <v>54</v>
      </c>
      <c r="B111">
        <v>36.886408000000003</v>
      </c>
      <c r="C111">
        <v>-95.967894000000001</v>
      </c>
      <c r="D111" t="s">
        <v>254</v>
      </c>
      <c r="E111" t="s">
        <v>240</v>
      </c>
      <c r="F111" t="s">
        <v>11</v>
      </c>
      <c r="G111" t="s">
        <v>222</v>
      </c>
      <c r="H111">
        <v>1</v>
      </c>
      <c r="I111" t="s">
        <v>23</v>
      </c>
      <c r="J111" s="4" t="s">
        <v>40</v>
      </c>
      <c r="K111">
        <v>1.512E-2</v>
      </c>
      <c r="L111">
        <v>29</v>
      </c>
      <c r="M111" t="s">
        <v>31</v>
      </c>
      <c r="N111" t="s">
        <v>17</v>
      </c>
      <c r="O111" s="3">
        <v>36450</v>
      </c>
      <c r="P111" s="3">
        <v>43885</v>
      </c>
      <c r="Q111" s="1">
        <v>0.47383435194942036</v>
      </c>
      <c r="R111" s="7">
        <v>20.36986301369863</v>
      </c>
      <c r="S111">
        <v>0.65</v>
      </c>
      <c r="T111" s="2">
        <v>0.95799232876712326</v>
      </c>
      <c r="U111" t="s">
        <v>24</v>
      </c>
    </row>
    <row r="112" spans="1:21" hidden="1" x14ac:dyDescent="0.25">
      <c r="A112" t="s">
        <v>54</v>
      </c>
      <c r="B112">
        <v>36.886408000000003</v>
      </c>
      <c r="C112">
        <v>-95.967894000000001</v>
      </c>
      <c r="D112" t="s">
        <v>254</v>
      </c>
      <c r="E112" t="s">
        <v>240</v>
      </c>
      <c r="F112" t="s">
        <v>11</v>
      </c>
      <c r="G112" t="s">
        <v>224</v>
      </c>
      <c r="H112">
        <v>3</v>
      </c>
      <c r="I112" t="s">
        <v>23</v>
      </c>
      <c r="J112" s="4" t="s">
        <v>22</v>
      </c>
      <c r="K112">
        <v>3.5379999999999998</v>
      </c>
      <c r="L112">
        <v>14</v>
      </c>
      <c r="M112" t="s">
        <v>16</v>
      </c>
      <c r="N112" t="s">
        <v>17</v>
      </c>
      <c r="O112" s="3">
        <v>41197</v>
      </c>
      <c r="P112" s="3">
        <v>43898</v>
      </c>
      <c r="Q112" s="1">
        <v>1.7454133333333337</v>
      </c>
      <c r="R112" s="7">
        <v>7.4</v>
      </c>
      <c r="S112">
        <v>15</v>
      </c>
      <c r="T112" s="2">
        <v>41.181200000000004</v>
      </c>
      <c r="U112" t="s">
        <v>19</v>
      </c>
    </row>
    <row r="113" spans="1:21" hidden="1" x14ac:dyDescent="0.25">
      <c r="A113" t="s">
        <v>54</v>
      </c>
      <c r="B113">
        <v>36.886408000000003</v>
      </c>
      <c r="C113">
        <v>-95.967894000000001</v>
      </c>
      <c r="D113" t="s">
        <v>254</v>
      </c>
      <c r="E113" t="s">
        <v>240</v>
      </c>
      <c r="F113" t="s">
        <v>11</v>
      </c>
      <c r="G113" t="s">
        <v>225</v>
      </c>
      <c r="H113">
        <v>0</v>
      </c>
      <c r="I113" t="s">
        <v>15</v>
      </c>
      <c r="J113" t="s">
        <v>14</v>
      </c>
      <c r="K113" s="2" t="s">
        <v>15</v>
      </c>
      <c r="L113">
        <v>30</v>
      </c>
      <c r="M113" t="s">
        <v>16</v>
      </c>
      <c r="N113" t="s">
        <v>17</v>
      </c>
      <c r="O113" s="3">
        <v>36451</v>
      </c>
      <c r="P113" s="3">
        <v>43885</v>
      </c>
      <c r="Q113" s="1" t="s">
        <v>14</v>
      </c>
      <c r="R113" s="7">
        <v>20.367123287671234</v>
      </c>
      <c r="S113" t="s">
        <v>14</v>
      </c>
      <c r="T113" t="s">
        <v>14</v>
      </c>
      <c r="U113" t="s">
        <v>21</v>
      </c>
    </row>
    <row r="114" spans="1:21" hidden="1" x14ac:dyDescent="0.25">
      <c r="A114" t="s">
        <v>54</v>
      </c>
      <c r="B114">
        <v>36.886408000000003</v>
      </c>
      <c r="C114">
        <v>-95.967894000000001</v>
      </c>
      <c r="D114" t="s">
        <v>254</v>
      </c>
      <c r="E114" t="s">
        <v>240</v>
      </c>
      <c r="F114" t="s">
        <v>11</v>
      </c>
      <c r="G114" t="s">
        <v>223</v>
      </c>
      <c r="H114">
        <v>0</v>
      </c>
      <c r="I114" t="s">
        <v>15</v>
      </c>
      <c r="J114" t="s">
        <v>14</v>
      </c>
      <c r="K114" t="s">
        <v>15</v>
      </c>
      <c r="L114">
        <v>29</v>
      </c>
      <c r="M114" t="s">
        <v>17</v>
      </c>
      <c r="N114" t="s">
        <v>17</v>
      </c>
      <c r="O114" s="3">
        <v>36450</v>
      </c>
      <c r="P114" s="3">
        <v>43885</v>
      </c>
      <c r="Q114" s="1" t="s">
        <v>14</v>
      </c>
      <c r="R114" s="7">
        <v>20.36986301369863</v>
      </c>
      <c r="S114" t="s">
        <v>14</v>
      </c>
      <c r="T114" t="s">
        <v>14</v>
      </c>
      <c r="U114" t="s">
        <v>24</v>
      </c>
    </row>
    <row r="115" spans="1:21" hidden="1" x14ac:dyDescent="0.25">
      <c r="A115" t="s">
        <v>54</v>
      </c>
      <c r="B115">
        <v>36.886408000000003</v>
      </c>
      <c r="C115">
        <v>-95.967894000000001</v>
      </c>
      <c r="D115" t="s">
        <v>254</v>
      </c>
      <c r="E115" t="s">
        <v>240</v>
      </c>
      <c r="F115" t="s">
        <v>11</v>
      </c>
      <c r="G115" t="s">
        <v>226</v>
      </c>
      <c r="H115">
        <v>-1</v>
      </c>
      <c r="I115" t="s">
        <v>29</v>
      </c>
      <c r="J115" s="5" t="s">
        <v>28</v>
      </c>
      <c r="K115">
        <v>-2.7879999999999998</v>
      </c>
      <c r="L115">
        <v>18</v>
      </c>
      <c r="M115" t="s">
        <v>17</v>
      </c>
      <c r="N115" t="s">
        <v>17</v>
      </c>
      <c r="O115" s="3">
        <v>38285</v>
      </c>
      <c r="P115" s="3">
        <v>43885</v>
      </c>
      <c r="Q115" s="1">
        <v>-0.57033059360730587</v>
      </c>
      <c r="R115" s="7">
        <v>15.342465753424657</v>
      </c>
      <c r="S115">
        <v>75</v>
      </c>
      <c r="T115" s="2">
        <v>32.225205479452057</v>
      </c>
      <c r="U115" t="s">
        <v>27</v>
      </c>
    </row>
    <row r="116" spans="1:21" hidden="1" x14ac:dyDescent="0.25">
      <c r="A116" s="5" t="s">
        <v>212</v>
      </c>
      <c r="B116">
        <v>35.394658</v>
      </c>
      <c r="C116">
        <v>-98.701730999999995</v>
      </c>
      <c r="D116" t="s">
        <v>252</v>
      </c>
      <c r="E116" t="s">
        <v>240</v>
      </c>
      <c r="F116" t="s">
        <v>11</v>
      </c>
      <c r="G116" t="s">
        <v>221</v>
      </c>
      <c r="H116">
        <v>3</v>
      </c>
      <c r="I116" t="s">
        <v>23</v>
      </c>
      <c r="J116" s="4" t="s">
        <v>22</v>
      </c>
      <c r="K116" s="6">
        <v>1.248</v>
      </c>
      <c r="L116" s="6">
        <v>66</v>
      </c>
      <c r="M116" s="5" t="s">
        <v>31</v>
      </c>
      <c r="N116" s="5" t="s">
        <v>17</v>
      </c>
      <c r="O116" s="3">
        <v>36080</v>
      </c>
      <c r="P116" s="3">
        <v>43699</v>
      </c>
      <c r="Q116" s="1">
        <v>2.1708931506849312</v>
      </c>
      <c r="R116" s="7">
        <v>20.873972602739727</v>
      </c>
      <c r="S116">
        <v>12</v>
      </c>
      <c r="T116" s="2">
        <v>38.050717808219176</v>
      </c>
      <c r="U116" t="s">
        <v>13</v>
      </c>
    </row>
    <row r="117" spans="1:21" hidden="1" x14ac:dyDescent="0.25">
      <c r="A117" s="5" t="s">
        <v>212</v>
      </c>
      <c r="B117">
        <v>35.394658</v>
      </c>
      <c r="C117">
        <v>-98.701730999999995</v>
      </c>
      <c r="D117" t="s">
        <v>252</v>
      </c>
      <c r="E117" t="s">
        <v>240</v>
      </c>
      <c r="F117" t="s">
        <v>11</v>
      </c>
      <c r="G117" t="s">
        <v>222</v>
      </c>
      <c r="H117">
        <v>3</v>
      </c>
      <c r="I117" t="s">
        <v>23</v>
      </c>
      <c r="J117" s="4" t="s">
        <v>22</v>
      </c>
      <c r="K117" s="6">
        <v>4.8370000000000003E-2</v>
      </c>
      <c r="L117" s="6">
        <v>66</v>
      </c>
      <c r="M117" s="5" t="s">
        <v>17</v>
      </c>
      <c r="N117" s="5" t="s">
        <v>17</v>
      </c>
      <c r="O117" s="3">
        <v>35906</v>
      </c>
      <c r="P117" s="3">
        <v>43662</v>
      </c>
      <c r="Q117" s="1">
        <v>1.4683276712328768</v>
      </c>
      <c r="R117" s="7">
        <v>21.24931506849315</v>
      </c>
      <c r="S117">
        <v>0.7</v>
      </c>
      <c r="T117" s="2">
        <v>1.7278293698630136</v>
      </c>
      <c r="U117" t="s">
        <v>24</v>
      </c>
    </row>
    <row r="118" spans="1:21" hidden="1" x14ac:dyDescent="0.25">
      <c r="A118" s="5" t="s">
        <v>212</v>
      </c>
      <c r="B118">
        <v>35.394658</v>
      </c>
      <c r="C118">
        <v>-98.701730999999995</v>
      </c>
      <c r="D118" t="s">
        <v>252</v>
      </c>
      <c r="E118" t="s">
        <v>240</v>
      </c>
      <c r="F118" t="s">
        <v>11</v>
      </c>
      <c r="G118" t="s">
        <v>224</v>
      </c>
      <c r="H118">
        <v>0</v>
      </c>
      <c r="I118" t="s">
        <v>15</v>
      </c>
      <c r="J118" s="5" t="s">
        <v>14</v>
      </c>
      <c r="K118" t="s">
        <v>15</v>
      </c>
      <c r="L118" s="6">
        <v>64</v>
      </c>
      <c r="M118" s="5" t="s">
        <v>17</v>
      </c>
      <c r="N118" s="5" t="s">
        <v>17</v>
      </c>
      <c r="O118" s="3">
        <v>36080</v>
      </c>
      <c r="P118" s="3">
        <v>43662</v>
      </c>
      <c r="Q118" s="1" t="s">
        <v>14</v>
      </c>
      <c r="R118" s="7">
        <v>20.772602739726029</v>
      </c>
      <c r="S118" t="s">
        <v>14</v>
      </c>
      <c r="T118" t="s">
        <v>14</v>
      </c>
      <c r="U118" t="s">
        <v>19</v>
      </c>
    </row>
    <row r="119" spans="1:21" hidden="1" x14ac:dyDescent="0.25">
      <c r="A119" s="5" t="s">
        <v>212</v>
      </c>
      <c r="B119">
        <v>35.394658</v>
      </c>
      <c r="C119">
        <v>-98.701730999999995</v>
      </c>
      <c r="D119" t="s">
        <v>252</v>
      </c>
      <c r="E119" t="s">
        <v>240</v>
      </c>
      <c r="F119" t="s">
        <v>11</v>
      </c>
      <c r="G119" t="s">
        <v>225</v>
      </c>
      <c r="H119">
        <v>3</v>
      </c>
      <c r="I119" t="s">
        <v>23</v>
      </c>
      <c r="J119" t="s">
        <v>22</v>
      </c>
      <c r="K119" s="2">
        <v>11.36</v>
      </c>
      <c r="L119">
        <v>59</v>
      </c>
      <c r="M119" t="s">
        <v>17</v>
      </c>
      <c r="N119" t="s">
        <v>17</v>
      </c>
      <c r="O119" s="3">
        <v>35906</v>
      </c>
      <c r="P119" s="3">
        <v>43662</v>
      </c>
      <c r="Q119" s="1">
        <v>0.23550460407617765</v>
      </c>
      <c r="R119" s="7">
        <v>21.24931506849315</v>
      </c>
      <c r="S119">
        <v>1025</v>
      </c>
      <c r="T119" s="2">
        <v>1266.3922191780821</v>
      </c>
      <c r="U119" t="s">
        <v>21</v>
      </c>
    </row>
    <row r="120" spans="1:21" hidden="1" x14ac:dyDescent="0.25">
      <c r="A120" s="5" t="s">
        <v>212</v>
      </c>
      <c r="B120">
        <v>35.394658</v>
      </c>
      <c r="C120">
        <v>-98.701730999999995</v>
      </c>
      <c r="D120" t="s">
        <v>252</v>
      </c>
      <c r="E120" t="s">
        <v>240</v>
      </c>
      <c r="F120" t="s">
        <v>11</v>
      </c>
      <c r="G120" t="s">
        <v>223</v>
      </c>
      <c r="H120">
        <v>3</v>
      </c>
      <c r="I120" t="s">
        <v>23</v>
      </c>
      <c r="J120" s="4" t="s">
        <v>22</v>
      </c>
      <c r="K120">
        <v>4.3E-3</v>
      </c>
      <c r="L120" s="6">
        <v>63</v>
      </c>
      <c r="M120" s="5" t="s">
        <v>17</v>
      </c>
      <c r="N120" s="5" t="s">
        <v>17</v>
      </c>
      <c r="O120" s="3">
        <v>35906</v>
      </c>
      <c r="P120" s="3">
        <v>43662</v>
      </c>
      <c r="Q120" s="1">
        <v>2.610630136986301</v>
      </c>
      <c r="R120" s="7">
        <v>21.24931506849315</v>
      </c>
      <c r="S120">
        <v>3.5000000000000003E-2</v>
      </c>
      <c r="T120" s="2">
        <v>0.12637205479452054</v>
      </c>
      <c r="U120" t="s">
        <v>24</v>
      </c>
    </row>
    <row r="121" spans="1:21" hidden="1" x14ac:dyDescent="0.25">
      <c r="A121" s="5" t="s">
        <v>212</v>
      </c>
      <c r="B121">
        <v>35.394658</v>
      </c>
      <c r="C121">
        <v>-98.701730999999995</v>
      </c>
      <c r="D121" t="s">
        <v>252</v>
      </c>
      <c r="E121" t="s">
        <v>240</v>
      </c>
      <c r="F121" t="s">
        <v>11</v>
      </c>
      <c r="G121" t="s">
        <v>226</v>
      </c>
      <c r="H121">
        <v>0</v>
      </c>
      <c r="I121" t="s">
        <v>15</v>
      </c>
      <c r="J121" s="5" t="s">
        <v>14</v>
      </c>
      <c r="K121" t="s">
        <v>15</v>
      </c>
      <c r="L121" s="6">
        <v>63</v>
      </c>
      <c r="M121" s="5" t="s">
        <v>17</v>
      </c>
      <c r="N121" s="5" t="s">
        <v>17</v>
      </c>
      <c r="O121" s="3">
        <v>36080</v>
      </c>
      <c r="P121" s="3">
        <v>43662</v>
      </c>
      <c r="Q121" s="1" t="s">
        <v>14</v>
      </c>
      <c r="R121" s="7">
        <v>20.772602739726029</v>
      </c>
      <c r="S121" t="s">
        <v>14</v>
      </c>
      <c r="T121" t="s">
        <v>14</v>
      </c>
      <c r="U121" t="s">
        <v>27</v>
      </c>
    </row>
    <row r="122" spans="1:21" hidden="1" x14ac:dyDescent="0.25">
      <c r="A122" t="s">
        <v>55</v>
      </c>
      <c r="B122">
        <v>35.394658</v>
      </c>
      <c r="C122">
        <v>-98.701730999999995</v>
      </c>
      <c r="D122" t="s">
        <v>245</v>
      </c>
      <c r="E122" t="s">
        <v>240</v>
      </c>
      <c r="F122" t="s">
        <v>11</v>
      </c>
      <c r="G122" t="s">
        <v>221</v>
      </c>
      <c r="H122">
        <v>0</v>
      </c>
      <c r="I122" t="s">
        <v>15</v>
      </c>
      <c r="J122" t="s">
        <v>14</v>
      </c>
      <c r="K122" t="s">
        <v>15</v>
      </c>
      <c r="L122">
        <v>20</v>
      </c>
      <c r="M122" t="s">
        <v>31</v>
      </c>
      <c r="N122" t="s">
        <v>16</v>
      </c>
      <c r="O122" s="3">
        <v>37315</v>
      </c>
      <c r="P122" s="3">
        <v>42921</v>
      </c>
      <c r="Q122" s="1" t="s">
        <v>14</v>
      </c>
      <c r="R122" s="7">
        <v>15.358904109589041</v>
      </c>
      <c r="S122" t="s">
        <v>14</v>
      </c>
      <c r="T122" t="s">
        <v>14</v>
      </c>
      <c r="U122" t="s">
        <v>13</v>
      </c>
    </row>
    <row r="123" spans="1:21" hidden="1" x14ac:dyDescent="0.25">
      <c r="A123" t="s">
        <v>55</v>
      </c>
      <c r="B123">
        <v>36.011389000000001</v>
      </c>
      <c r="C123">
        <v>-96.875031000000007</v>
      </c>
      <c r="D123" t="s">
        <v>245</v>
      </c>
      <c r="E123" t="s">
        <v>240</v>
      </c>
      <c r="F123" t="s">
        <v>11</v>
      </c>
      <c r="G123" t="s">
        <v>222</v>
      </c>
      <c r="H123">
        <v>0</v>
      </c>
      <c r="I123" t="s">
        <v>15</v>
      </c>
      <c r="J123" t="s">
        <v>14</v>
      </c>
      <c r="K123" t="s">
        <v>15</v>
      </c>
      <c r="L123">
        <v>24</v>
      </c>
      <c r="M123" t="s">
        <v>16</v>
      </c>
      <c r="N123" t="s">
        <v>17</v>
      </c>
      <c r="O123" s="3">
        <v>35899</v>
      </c>
      <c r="P123" s="3">
        <v>42921</v>
      </c>
      <c r="Q123" s="1" t="s">
        <v>14</v>
      </c>
      <c r="R123" s="7">
        <v>19.238356164383561</v>
      </c>
      <c r="S123" t="s">
        <v>14</v>
      </c>
      <c r="T123" t="s">
        <v>14</v>
      </c>
      <c r="U123" t="s">
        <v>24</v>
      </c>
    </row>
    <row r="124" spans="1:21" hidden="1" x14ac:dyDescent="0.25">
      <c r="A124" t="s">
        <v>55</v>
      </c>
      <c r="B124">
        <v>36.011389000000001</v>
      </c>
      <c r="C124">
        <v>-96.875031000000007</v>
      </c>
      <c r="D124" t="s">
        <v>245</v>
      </c>
      <c r="E124" t="s">
        <v>240</v>
      </c>
      <c r="F124" t="s">
        <v>11</v>
      </c>
      <c r="G124" t="s">
        <v>224</v>
      </c>
      <c r="H124">
        <v>0</v>
      </c>
      <c r="I124" t="s">
        <v>15</v>
      </c>
      <c r="J124" t="s">
        <v>14</v>
      </c>
      <c r="K124" t="s">
        <v>15</v>
      </c>
      <c r="L124">
        <v>15</v>
      </c>
      <c r="M124" t="s">
        <v>16</v>
      </c>
      <c r="N124" t="s">
        <v>17</v>
      </c>
      <c r="O124" s="3">
        <v>37315</v>
      </c>
      <c r="P124" s="3">
        <v>42921</v>
      </c>
      <c r="Q124" s="1" t="s">
        <v>14</v>
      </c>
      <c r="R124" s="7">
        <v>15.358904109589041</v>
      </c>
      <c r="S124" t="s">
        <v>14</v>
      </c>
      <c r="T124" t="s">
        <v>14</v>
      </c>
      <c r="U124" t="s">
        <v>19</v>
      </c>
    </row>
    <row r="125" spans="1:21" hidden="1" x14ac:dyDescent="0.25">
      <c r="A125" t="s">
        <v>55</v>
      </c>
      <c r="B125">
        <v>36.011389000000001</v>
      </c>
      <c r="C125">
        <v>-96.875031000000007</v>
      </c>
      <c r="D125" t="s">
        <v>245</v>
      </c>
      <c r="E125" t="s">
        <v>240</v>
      </c>
      <c r="F125" t="s">
        <v>11</v>
      </c>
      <c r="G125" t="s">
        <v>225</v>
      </c>
      <c r="H125">
        <v>3</v>
      </c>
      <c r="I125" t="s">
        <v>23</v>
      </c>
      <c r="J125" t="s">
        <v>22</v>
      </c>
      <c r="K125" s="2">
        <v>9.6989999999999998</v>
      </c>
      <c r="L125">
        <v>28</v>
      </c>
      <c r="M125" t="s">
        <v>16</v>
      </c>
      <c r="N125" t="s">
        <v>31</v>
      </c>
      <c r="O125" s="3">
        <v>35669</v>
      </c>
      <c r="P125" s="3">
        <v>42957</v>
      </c>
      <c r="Q125" s="1">
        <v>1.1066350215264187</v>
      </c>
      <c r="R125" s="7">
        <v>19.967123287671232</v>
      </c>
      <c r="S125">
        <v>175</v>
      </c>
      <c r="T125" s="2">
        <v>368.66112876712327</v>
      </c>
      <c r="U125" t="s">
        <v>21</v>
      </c>
    </row>
    <row r="126" spans="1:21" hidden="1" x14ac:dyDescent="0.25">
      <c r="A126" t="s">
        <v>55</v>
      </c>
      <c r="B126">
        <v>36.011389000000001</v>
      </c>
      <c r="C126">
        <v>-96.875031000000007</v>
      </c>
      <c r="D126" t="s">
        <v>245</v>
      </c>
      <c r="E126" t="s">
        <v>240</v>
      </c>
      <c r="F126" t="s">
        <v>11</v>
      </c>
      <c r="G126" t="s">
        <v>223</v>
      </c>
      <c r="H126">
        <v>0</v>
      </c>
      <c r="I126" t="s">
        <v>15</v>
      </c>
      <c r="J126" t="s">
        <v>14</v>
      </c>
      <c r="K126" t="s">
        <v>15</v>
      </c>
      <c r="L126">
        <v>24</v>
      </c>
      <c r="M126" t="s">
        <v>16</v>
      </c>
      <c r="N126" t="s">
        <v>17</v>
      </c>
      <c r="O126" s="3">
        <v>35889</v>
      </c>
      <c r="P126" s="3">
        <v>42921</v>
      </c>
      <c r="Q126" s="1" t="s">
        <v>14</v>
      </c>
      <c r="R126" s="7">
        <v>19.265753424657536</v>
      </c>
      <c r="S126" t="s">
        <v>14</v>
      </c>
      <c r="T126" t="s">
        <v>14</v>
      </c>
      <c r="U126" t="s">
        <v>24</v>
      </c>
    </row>
    <row r="127" spans="1:21" hidden="1" x14ac:dyDescent="0.25">
      <c r="A127" t="s">
        <v>55</v>
      </c>
      <c r="B127">
        <v>36.011389000000001</v>
      </c>
      <c r="C127">
        <v>-96.875031000000007</v>
      </c>
      <c r="D127" t="s">
        <v>245</v>
      </c>
      <c r="E127" t="s">
        <v>240</v>
      </c>
      <c r="F127" t="s">
        <v>11</v>
      </c>
      <c r="G127" t="s">
        <v>226</v>
      </c>
      <c r="H127">
        <v>-3</v>
      </c>
      <c r="I127" t="s">
        <v>29</v>
      </c>
      <c r="J127" s="4" t="s">
        <v>32</v>
      </c>
      <c r="K127">
        <v>-1.2589999999999999</v>
      </c>
      <c r="L127">
        <v>18</v>
      </c>
      <c r="M127" t="s">
        <v>17</v>
      </c>
      <c r="N127" t="s">
        <v>17</v>
      </c>
      <c r="O127" s="3">
        <v>37315</v>
      </c>
      <c r="P127" s="3">
        <v>42991</v>
      </c>
      <c r="Q127" s="1">
        <v>-0.3083198791931831</v>
      </c>
      <c r="R127" s="7">
        <v>15.550684931506849</v>
      </c>
      <c r="S127">
        <v>63.5</v>
      </c>
      <c r="T127" s="2">
        <v>43.921687671232874</v>
      </c>
      <c r="U127" t="s">
        <v>27</v>
      </c>
    </row>
    <row r="128" spans="1:21" hidden="1" x14ac:dyDescent="0.25">
      <c r="A128" t="s">
        <v>211</v>
      </c>
      <c r="B128">
        <v>35.573717000000002</v>
      </c>
      <c r="C128">
        <v>-96.106853000000001</v>
      </c>
      <c r="D128" t="s">
        <v>91</v>
      </c>
      <c r="E128" t="s">
        <v>240</v>
      </c>
      <c r="F128" t="s">
        <v>11</v>
      </c>
      <c r="G128" t="s">
        <v>221</v>
      </c>
      <c r="H128">
        <v>1</v>
      </c>
      <c r="I128" t="s">
        <v>23</v>
      </c>
      <c r="J128" s="5" t="s">
        <v>40</v>
      </c>
      <c r="K128">
        <v>0.1598</v>
      </c>
      <c r="L128">
        <v>25</v>
      </c>
      <c r="M128" t="s">
        <v>16</v>
      </c>
      <c r="N128" t="s">
        <v>17</v>
      </c>
      <c r="O128" s="3">
        <v>38313</v>
      </c>
      <c r="P128" s="3">
        <v>44054</v>
      </c>
      <c r="Q128" s="1">
        <v>0.66143604902667641</v>
      </c>
      <c r="R128" s="7">
        <v>15.728767123287671</v>
      </c>
      <c r="S128">
        <v>3.8</v>
      </c>
      <c r="T128" s="2">
        <v>6.3134569863013699</v>
      </c>
      <c r="U128" t="s">
        <v>13</v>
      </c>
    </row>
    <row r="129" spans="1:21" hidden="1" x14ac:dyDescent="0.25">
      <c r="A129" t="s">
        <v>211</v>
      </c>
      <c r="B129">
        <v>35.573717000000002</v>
      </c>
      <c r="C129">
        <v>-96.106853000000001</v>
      </c>
      <c r="D129" t="s">
        <v>91</v>
      </c>
      <c r="E129" t="s">
        <v>240</v>
      </c>
      <c r="F129" t="s">
        <v>11</v>
      </c>
      <c r="G129" t="s">
        <v>222</v>
      </c>
      <c r="H129">
        <v>0</v>
      </c>
      <c r="I129" t="s">
        <v>15</v>
      </c>
      <c r="J129" t="s">
        <v>14</v>
      </c>
      <c r="K129" t="s">
        <v>15</v>
      </c>
      <c r="L129">
        <v>29</v>
      </c>
      <c r="M129" t="s">
        <v>16</v>
      </c>
      <c r="N129" t="s">
        <v>16</v>
      </c>
      <c r="O129" s="3">
        <v>37182</v>
      </c>
      <c r="P129" s="3">
        <v>44054</v>
      </c>
      <c r="Q129" s="1" t="s">
        <v>14</v>
      </c>
      <c r="R129" s="7">
        <v>18.827397260273973</v>
      </c>
      <c r="S129" t="s">
        <v>14</v>
      </c>
      <c r="T129" t="s">
        <v>14</v>
      </c>
      <c r="U129" t="s">
        <v>24</v>
      </c>
    </row>
    <row r="130" spans="1:21" hidden="1" x14ac:dyDescent="0.25">
      <c r="A130" t="s">
        <v>211</v>
      </c>
      <c r="B130">
        <v>35.573717000000002</v>
      </c>
      <c r="C130">
        <v>-96.106853000000001</v>
      </c>
      <c r="D130" t="s">
        <v>91</v>
      </c>
      <c r="E130" t="s">
        <v>240</v>
      </c>
      <c r="F130" t="s">
        <v>11</v>
      </c>
      <c r="G130" t="s">
        <v>224</v>
      </c>
      <c r="H130">
        <v>0</v>
      </c>
      <c r="I130" t="s">
        <v>15</v>
      </c>
      <c r="J130" t="s">
        <v>14</v>
      </c>
      <c r="K130" t="s">
        <v>15</v>
      </c>
      <c r="L130">
        <v>26</v>
      </c>
      <c r="M130" t="s">
        <v>31</v>
      </c>
      <c r="N130" t="s">
        <v>17</v>
      </c>
      <c r="O130" s="3">
        <v>37172</v>
      </c>
      <c r="P130" s="3">
        <v>44054</v>
      </c>
      <c r="Q130" s="1" t="s">
        <v>14</v>
      </c>
      <c r="R130" s="7">
        <v>18.854794520547944</v>
      </c>
      <c r="S130" t="s">
        <v>14</v>
      </c>
      <c r="T130" t="s">
        <v>14</v>
      </c>
      <c r="U130" t="s">
        <v>19</v>
      </c>
    </row>
    <row r="131" spans="1:21" hidden="1" x14ac:dyDescent="0.25">
      <c r="A131" t="s">
        <v>211</v>
      </c>
      <c r="B131">
        <v>35.573717000000002</v>
      </c>
      <c r="C131">
        <v>-96.106853000000001</v>
      </c>
      <c r="D131" t="s">
        <v>91</v>
      </c>
      <c r="E131" t="s">
        <v>240</v>
      </c>
      <c r="F131" t="s">
        <v>11</v>
      </c>
      <c r="G131" t="s">
        <v>225</v>
      </c>
      <c r="H131">
        <v>2</v>
      </c>
      <c r="I131" t="s">
        <v>23</v>
      </c>
      <c r="J131" t="s">
        <v>38</v>
      </c>
      <c r="K131" s="2">
        <v>1.9430000000000001</v>
      </c>
      <c r="L131">
        <v>31</v>
      </c>
      <c r="M131" t="s">
        <v>31</v>
      </c>
      <c r="N131" t="s">
        <v>16</v>
      </c>
      <c r="O131" s="3">
        <v>37182</v>
      </c>
      <c r="P131" s="3">
        <v>44140</v>
      </c>
      <c r="Q131" s="1">
        <v>0.37039435616438365</v>
      </c>
      <c r="R131" s="7">
        <v>19.063013698630137</v>
      </c>
      <c r="S131">
        <v>100</v>
      </c>
      <c r="T131" s="2">
        <v>137.03943561643837</v>
      </c>
      <c r="U131" t="s">
        <v>21</v>
      </c>
    </row>
    <row r="132" spans="1:21" hidden="1" x14ac:dyDescent="0.25">
      <c r="A132" t="s">
        <v>211</v>
      </c>
      <c r="B132">
        <v>35.573717000000002</v>
      </c>
      <c r="C132">
        <v>-96.106853000000001</v>
      </c>
      <c r="D132" t="s">
        <v>91</v>
      </c>
      <c r="E132" t="s">
        <v>240</v>
      </c>
      <c r="F132" t="s">
        <v>11</v>
      </c>
      <c r="G132" t="s">
        <v>223</v>
      </c>
      <c r="H132">
        <v>0</v>
      </c>
      <c r="I132" t="s">
        <v>15</v>
      </c>
      <c r="J132" t="s">
        <v>14</v>
      </c>
      <c r="K132" t="s">
        <v>15</v>
      </c>
      <c r="L132">
        <v>25</v>
      </c>
      <c r="M132" t="s">
        <v>16</v>
      </c>
      <c r="N132" t="s">
        <v>16</v>
      </c>
      <c r="O132" s="3">
        <v>37172</v>
      </c>
      <c r="P132" s="3">
        <v>44054</v>
      </c>
      <c r="Q132" s="1" t="s">
        <v>14</v>
      </c>
      <c r="R132" s="7">
        <v>18.854794520547944</v>
      </c>
      <c r="S132" t="s">
        <v>14</v>
      </c>
      <c r="T132" t="s">
        <v>14</v>
      </c>
      <c r="U132" t="s">
        <v>24</v>
      </c>
    </row>
    <row r="133" spans="1:21" hidden="1" x14ac:dyDescent="0.25">
      <c r="A133" t="s">
        <v>211</v>
      </c>
      <c r="B133">
        <v>35.573717000000002</v>
      </c>
      <c r="C133">
        <v>-96.106853000000001</v>
      </c>
      <c r="D133" t="s">
        <v>91</v>
      </c>
      <c r="E133" t="s">
        <v>240</v>
      </c>
      <c r="F133" t="s">
        <v>11</v>
      </c>
      <c r="G133" t="s">
        <v>226</v>
      </c>
      <c r="H133">
        <v>0</v>
      </c>
      <c r="I133" t="s">
        <v>15</v>
      </c>
      <c r="J133" t="s">
        <v>14</v>
      </c>
      <c r="K133" t="s">
        <v>15</v>
      </c>
      <c r="L133">
        <v>29</v>
      </c>
      <c r="M133" t="s">
        <v>16</v>
      </c>
      <c r="N133" t="s">
        <v>17</v>
      </c>
      <c r="O133" s="3">
        <v>37172</v>
      </c>
      <c r="P133" s="3">
        <v>44054</v>
      </c>
      <c r="Q133" s="1" t="s">
        <v>14</v>
      </c>
      <c r="R133" s="7">
        <v>18.854794520547944</v>
      </c>
      <c r="S133" t="s">
        <v>14</v>
      </c>
      <c r="T133" t="s">
        <v>14</v>
      </c>
      <c r="U133" t="s">
        <v>27</v>
      </c>
    </row>
    <row r="134" spans="1:21" hidden="1" x14ac:dyDescent="0.25">
      <c r="A134" t="s">
        <v>56</v>
      </c>
      <c r="B134">
        <v>34.519430999999997</v>
      </c>
      <c r="C134">
        <v>-97.811086000000003</v>
      </c>
      <c r="D134" t="s">
        <v>251</v>
      </c>
      <c r="E134" t="s">
        <v>240</v>
      </c>
      <c r="F134" t="s">
        <v>11</v>
      </c>
      <c r="G134" t="s">
        <v>221</v>
      </c>
      <c r="H134">
        <v>0</v>
      </c>
      <c r="I134" t="s">
        <v>15</v>
      </c>
      <c r="J134" t="s">
        <v>14</v>
      </c>
      <c r="K134" t="s">
        <v>15</v>
      </c>
      <c r="L134">
        <v>18</v>
      </c>
      <c r="M134" t="s">
        <v>16</v>
      </c>
      <c r="N134" t="s">
        <v>33</v>
      </c>
      <c r="O134" s="3">
        <v>37580</v>
      </c>
      <c r="P134" s="3">
        <v>43654</v>
      </c>
      <c r="Q134" s="1" t="s">
        <v>14</v>
      </c>
      <c r="R134" s="7">
        <v>16.641095890410959</v>
      </c>
      <c r="S134" t="s">
        <v>14</v>
      </c>
      <c r="T134" t="s">
        <v>14</v>
      </c>
      <c r="U134" t="s">
        <v>13</v>
      </c>
    </row>
    <row r="135" spans="1:21" hidden="1" x14ac:dyDescent="0.25">
      <c r="A135" t="s">
        <v>56</v>
      </c>
      <c r="B135">
        <v>34.519430999999997</v>
      </c>
      <c r="C135">
        <v>-97.811086000000003</v>
      </c>
      <c r="D135" t="s">
        <v>251</v>
      </c>
      <c r="E135" t="s">
        <v>240</v>
      </c>
      <c r="F135" t="s">
        <v>11</v>
      </c>
      <c r="G135" t="s">
        <v>222</v>
      </c>
      <c r="H135">
        <v>2</v>
      </c>
      <c r="I135" t="s">
        <v>23</v>
      </c>
      <c r="J135" s="4" t="s">
        <v>38</v>
      </c>
      <c r="K135">
        <v>1.644E-2</v>
      </c>
      <c r="L135">
        <v>25</v>
      </c>
      <c r="M135" t="s">
        <v>16</v>
      </c>
      <c r="N135" t="s">
        <v>16</v>
      </c>
      <c r="O135" s="3">
        <v>35961</v>
      </c>
      <c r="P135" s="3">
        <v>43692</v>
      </c>
      <c r="Q135" s="1">
        <v>0.63311402241594028</v>
      </c>
      <c r="R135" s="7">
        <v>21.18082191780822</v>
      </c>
      <c r="S135">
        <v>0.55000000000000004</v>
      </c>
      <c r="T135" s="2">
        <v>0.8982127123287672</v>
      </c>
      <c r="U135" t="s">
        <v>24</v>
      </c>
    </row>
    <row r="136" spans="1:21" hidden="1" x14ac:dyDescent="0.25">
      <c r="A136" t="s">
        <v>56</v>
      </c>
      <c r="B136">
        <v>34.519430999999997</v>
      </c>
      <c r="C136">
        <v>-97.811086000000003</v>
      </c>
      <c r="D136" t="s">
        <v>251</v>
      </c>
      <c r="E136" t="s">
        <v>240</v>
      </c>
      <c r="F136" t="s">
        <v>11</v>
      </c>
      <c r="G136" t="s">
        <v>224</v>
      </c>
      <c r="H136">
        <v>99</v>
      </c>
      <c r="I136" t="s">
        <v>15</v>
      </c>
      <c r="J136" s="4" t="s">
        <v>186</v>
      </c>
      <c r="K136" t="s">
        <v>15</v>
      </c>
      <c r="L136">
        <v>12</v>
      </c>
      <c r="M136" s="3" t="s">
        <v>186</v>
      </c>
      <c r="N136" s="3" t="s">
        <v>186</v>
      </c>
      <c r="O136" s="3" t="s">
        <v>186</v>
      </c>
      <c r="P136" s="3" t="s">
        <v>186</v>
      </c>
      <c r="Q136" s="1" t="s">
        <v>186</v>
      </c>
      <c r="R136" s="7" t="s">
        <v>186</v>
      </c>
      <c r="S136" t="s">
        <v>186</v>
      </c>
      <c r="T136" t="s">
        <v>186</v>
      </c>
      <c r="U136" t="s">
        <v>19</v>
      </c>
    </row>
    <row r="137" spans="1:21" hidden="1" x14ac:dyDescent="0.25">
      <c r="A137" t="s">
        <v>56</v>
      </c>
      <c r="B137">
        <v>34.519430999999997</v>
      </c>
      <c r="C137">
        <v>-97.811086000000003</v>
      </c>
      <c r="D137" t="s">
        <v>251</v>
      </c>
      <c r="E137" t="s">
        <v>240</v>
      </c>
      <c r="F137" t="s">
        <v>11</v>
      </c>
      <c r="G137" t="s">
        <v>225</v>
      </c>
      <c r="H137">
        <v>1</v>
      </c>
      <c r="I137" t="s">
        <v>23</v>
      </c>
      <c r="J137" t="s">
        <v>40</v>
      </c>
      <c r="K137" s="2">
        <v>5.4880000000000004</v>
      </c>
      <c r="L137">
        <v>21</v>
      </c>
      <c r="M137" t="s">
        <v>16</v>
      </c>
      <c r="N137" t="s">
        <v>17</v>
      </c>
      <c r="O137" s="3">
        <v>35961</v>
      </c>
      <c r="P137" s="3">
        <v>43654</v>
      </c>
      <c r="Q137" s="1">
        <v>0.34528058883663865</v>
      </c>
      <c r="R137" s="7">
        <v>21.076712328767123</v>
      </c>
      <c r="S137">
        <v>335</v>
      </c>
      <c r="T137" s="2">
        <v>450.66899726027395</v>
      </c>
      <c r="U137" t="s">
        <v>21</v>
      </c>
    </row>
    <row r="138" spans="1:21" hidden="1" x14ac:dyDescent="0.25">
      <c r="A138" t="s">
        <v>56</v>
      </c>
      <c r="B138">
        <v>34.519430999999997</v>
      </c>
      <c r="C138">
        <v>-97.811086000000003</v>
      </c>
      <c r="D138" t="s">
        <v>251</v>
      </c>
      <c r="E138" t="s">
        <v>240</v>
      </c>
      <c r="F138" t="s">
        <v>11</v>
      </c>
      <c r="G138" t="s">
        <v>223</v>
      </c>
      <c r="H138">
        <v>0</v>
      </c>
      <c r="I138" t="s">
        <v>15</v>
      </c>
      <c r="J138" t="s">
        <v>14</v>
      </c>
      <c r="K138" t="s">
        <v>15</v>
      </c>
      <c r="L138">
        <v>25</v>
      </c>
      <c r="M138" t="s">
        <v>16</v>
      </c>
      <c r="N138" t="s">
        <v>17</v>
      </c>
      <c r="O138" s="3">
        <v>35961</v>
      </c>
      <c r="P138" s="3">
        <v>43654</v>
      </c>
      <c r="Q138" s="1" t="s">
        <v>14</v>
      </c>
      <c r="R138" s="7">
        <v>21.076712328767123</v>
      </c>
      <c r="S138" t="s">
        <v>14</v>
      </c>
      <c r="T138" t="s">
        <v>14</v>
      </c>
      <c r="U138" t="s">
        <v>24</v>
      </c>
    </row>
    <row r="139" spans="1:21" hidden="1" x14ac:dyDescent="0.25">
      <c r="A139" t="s">
        <v>56</v>
      </c>
      <c r="B139">
        <v>34.519430999999997</v>
      </c>
      <c r="C139">
        <v>-97.811086000000003</v>
      </c>
      <c r="D139" t="s">
        <v>251</v>
      </c>
      <c r="E139" t="s">
        <v>240</v>
      </c>
      <c r="F139" t="s">
        <v>11</v>
      </c>
      <c r="G139" t="s">
        <v>226</v>
      </c>
      <c r="H139">
        <v>0</v>
      </c>
      <c r="I139" t="s">
        <v>15</v>
      </c>
      <c r="J139" t="s">
        <v>14</v>
      </c>
      <c r="K139" t="s">
        <v>15</v>
      </c>
      <c r="L139">
        <v>19</v>
      </c>
      <c r="M139" t="s">
        <v>16</v>
      </c>
      <c r="N139" t="s">
        <v>17</v>
      </c>
      <c r="O139" s="3">
        <v>36836</v>
      </c>
      <c r="P139" s="3">
        <v>43654</v>
      </c>
      <c r="Q139" s="1" t="s">
        <v>14</v>
      </c>
      <c r="R139" s="7">
        <v>18.67945205479452</v>
      </c>
      <c r="S139" t="s">
        <v>14</v>
      </c>
      <c r="T139" t="s">
        <v>14</v>
      </c>
      <c r="U139" t="s">
        <v>27</v>
      </c>
    </row>
    <row r="140" spans="1:21" hidden="1" x14ac:dyDescent="0.25">
      <c r="A140" t="s">
        <v>57</v>
      </c>
      <c r="B140">
        <v>34.795461000000003</v>
      </c>
      <c r="C140">
        <v>-98.366422</v>
      </c>
      <c r="D140" t="s">
        <v>255</v>
      </c>
      <c r="E140" t="s">
        <v>240</v>
      </c>
      <c r="F140" t="s">
        <v>11</v>
      </c>
      <c r="G140" t="s">
        <v>221</v>
      </c>
      <c r="H140">
        <v>0</v>
      </c>
      <c r="I140" t="s">
        <v>15</v>
      </c>
      <c r="J140" t="s">
        <v>14</v>
      </c>
      <c r="K140" t="s">
        <v>15</v>
      </c>
      <c r="L140">
        <v>28</v>
      </c>
      <c r="M140" t="s">
        <v>33</v>
      </c>
      <c r="N140" t="s">
        <v>17</v>
      </c>
      <c r="O140" s="3">
        <v>37480</v>
      </c>
      <c r="P140" s="3">
        <v>43655</v>
      </c>
      <c r="Q140" s="1" t="s">
        <v>14</v>
      </c>
      <c r="R140" s="7">
        <v>16.917808219178081</v>
      </c>
      <c r="S140" t="s">
        <v>14</v>
      </c>
      <c r="T140" t="s">
        <v>14</v>
      </c>
      <c r="U140" t="s">
        <v>13</v>
      </c>
    </row>
    <row r="141" spans="1:21" hidden="1" x14ac:dyDescent="0.25">
      <c r="A141" t="s">
        <v>57</v>
      </c>
      <c r="B141">
        <v>34.795461000000003</v>
      </c>
      <c r="C141">
        <v>-98.366422</v>
      </c>
      <c r="D141" t="s">
        <v>255</v>
      </c>
      <c r="E141" t="s">
        <v>240</v>
      </c>
      <c r="F141" t="s">
        <v>11</v>
      </c>
      <c r="G141" t="s">
        <v>222</v>
      </c>
      <c r="H141">
        <v>2</v>
      </c>
      <c r="I141" t="s">
        <v>23</v>
      </c>
      <c r="J141" s="4" t="s">
        <v>38</v>
      </c>
      <c r="K141">
        <v>8.9739999999999993E-3</v>
      </c>
      <c r="L141">
        <v>36</v>
      </c>
      <c r="M141" t="s">
        <v>33</v>
      </c>
      <c r="N141" t="s">
        <v>17</v>
      </c>
      <c r="O141" s="3">
        <v>35900</v>
      </c>
      <c r="P141" s="3">
        <v>43693</v>
      </c>
      <c r="Q141" s="1">
        <v>0.23950130821917798</v>
      </c>
      <c r="R141" s="7">
        <v>21.350684931506848</v>
      </c>
      <c r="S141">
        <v>0.8</v>
      </c>
      <c r="T141" s="2">
        <v>0.99160104657534243</v>
      </c>
      <c r="U141" t="s">
        <v>24</v>
      </c>
    </row>
    <row r="142" spans="1:21" hidden="1" x14ac:dyDescent="0.25">
      <c r="A142" t="s">
        <v>57</v>
      </c>
      <c r="B142">
        <v>34.795461000000003</v>
      </c>
      <c r="C142">
        <v>-98.366422</v>
      </c>
      <c r="D142" t="s">
        <v>255</v>
      </c>
      <c r="E142" t="s">
        <v>240</v>
      </c>
      <c r="F142" t="s">
        <v>11</v>
      </c>
      <c r="G142" t="s">
        <v>224</v>
      </c>
      <c r="H142">
        <v>0</v>
      </c>
      <c r="I142" t="s">
        <v>15</v>
      </c>
      <c r="J142" t="s">
        <v>14</v>
      </c>
      <c r="K142" t="s">
        <v>15</v>
      </c>
      <c r="L142">
        <v>21</v>
      </c>
      <c r="M142" t="s">
        <v>17</v>
      </c>
      <c r="N142" t="s">
        <v>17</v>
      </c>
      <c r="O142" s="3">
        <v>37202</v>
      </c>
      <c r="P142" s="3">
        <v>43655</v>
      </c>
      <c r="Q142" s="1" t="s">
        <v>14</v>
      </c>
      <c r="R142" s="7">
        <v>17.67945205479452</v>
      </c>
      <c r="S142" t="s">
        <v>14</v>
      </c>
      <c r="T142" t="s">
        <v>14</v>
      </c>
      <c r="U142" t="s">
        <v>19</v>
      </c>
    </row>
    <row r="143" spans="1:21" hidden="1" x14ac:dyDescent="0.25">
      <c r="A143" t="s">
        <v>57</v>
      </c>
      <c r="B143">
        <v>34.795461000000003</v>
      </c>
      <c r="C143">
        <v>-98.366422</v>
      </c>
      <c r="D143" t="s">
        <v>255</v>
      </c>
      <c r="E143" t="s">
        <v>240</v>
      </c>
      <c r="F143" t="s">
        <v>11</v>
      </c>
      <c r="G143" t="s">
        <v>225</v>
      </c>
      <c r="H143">
        <v>0</v>
      </c>
      <c r="I143" t="s">
        <v>15</v>
      </c>
      <c r="J143" t="s">
        <v>14</v>
      </c>
      <c r="K143" s="2" t="s">
        <v>15</v>
      </c>
      <c r="L143">
        <v>38</v>
      </c>
      <c r="M143" t="s">
        <v>16</v>
      </c>
      <c r="N143" t="s">
        <v>17</v>
      </c>
      <c r="O143" s="3">
        <v>34561</v>
      </c>
      <c r="P143" s="3">
        <v>43655</v>
      </c>
      <c r="Q143" s="1" t="s">
        <v>14</v>
      </c>
      <c r="R143" s="7">
        <v>24.915068493150685</v>
      </c>
      <c r="S143" t="s">
        <v>14</v>
      </c>
      <c r="T143" t="s">
        <v>14</v>
      </c>
      <c r="U143" t="s">
        <v>21</v>
      </c>
    </row>
    <row r="144" spans="1:21" hidden="1" x14ac:dyDescent="0.25">
      <c r="A144" t="s">
        <v>57</v>
      </c>
      <c r="B144">
        <v>34.795461000000003</v>
      </c>
      <c r="C144">
        <v>-98.366422</v>
      </c>
      <c r="D144" t="s">
        <v>255</v>
      </c>
      <c r="E144" t="s">
        <v>240</v>
      </c>
      <c r="F144" t="s">
        <v>11</v>
      </c>
      <c r="G144" t="s">
        <v>223</v>
      </c>
      <c r="H144">
        <v>2</v>
      </c>
      <c r="I144" t="s">
        <v>23</v>
      </c>
      <c r="J144" s="4" t="s">
        <v>38</v>
      </c>
      <c r="K144">
        <v>2.098E-3</v>
      </c>
      <c r="L144">
        <v>36</v>
      </c>
      <c r="M144" t="s">
        <v>17</v>
      </c>
      <c r="N144" t="s">
        <v>17</v>
      </c>
      <c r="O144" s="3">
        <v>35900</v>
      </c>
      <c r="P144" s="3">
        <v>43655</v>
      </c>
      <c r="Q144" s="1">
        <v>0.99056255707762553</v>
      </c>
      <c r="R144" s="7">
        <v>21.246575342465754</v>
      </c>
      <c r="S144">
        <v>4.4999999999999998E-2</v>
      </c>
      <c r="T144" s="2">
        <v>8.9575315068493144E-2</v>
      </c>
      <c r="U144" t="s">
        <v>24</v>
      </c>
    </row>
    <row r="145" spans="1:21" hidden="1" x14ac:dyDescent="0.25">
      <c r="A145" t="s">
        <v>57</v>
      </c>
      <c r="B145">
        <v>34.795461000000003</v>
      </c>
      <c r="C145">
        <v>-98.366422</v>
      </c>
      <c r="D145" t="s">
        <v>255</v>
      </c>
      <c r="E145" t="s">
        <v>240</v>
      </c>
      <c r="F145" t="s">
        <v>11</v>
      </c>
      <c r="G145" t="s">
        <v>226</v>
      </c>
      <c r="H145">
        <v>0</v>
      </c>
      <c r="I145" t="s">
        <v>15</v>
      </c>
      <c r="J145" t="s">
        <v>14</v>
      </c>
      <c r="K145" t="s">
        <v>15</v>
      </c>
      <c r="L145">
        <v>27</v>
      </c>
      <c r="M145" t="s">
        <v>17</v>
      </c>
      <c r="N145" t="s">
        <v>17</v>
      </c>
      <c r="O145" s="3">
        <v>37202</v>
      </c>
      <c r="P145" s="3">
        <v>43655</v>
      </c>
      <c r="Q145" s="1" t="s">
        <v>14</v>
      </c>
      <c r="R145" s="7">
        <v>17.67945205479452</v>
      </c>
      <c r="S145" t="s">
        <v>14</v>
      </c>
      <c r="T145" t="s">
        <v>14</v>
      </c>
      <c r="U145" t="s">
        <v>27</v>
      </c>
    </row>
    <row r="146" spans="1:21" hidden="1" x14ac:dyDescent="0.25">
      <c r="A146" t="s">
        <v>220</v>
      </c>
      <c r="B146">
        <v>34.727491999999998</v>
      </c>
      <c r="C146">
        <v>-98.515336000000005</v>
      </c>
      <c r="D146" t="s">
        <v>255</v>
      </c>
      <c r="E146" t="s">
        <v>240</v>
      </c>
      <c r="F146" t="s">
        <v>11</v>
      </c>
      <c r="G146" t="s">
        <v>221</v>
      </c>
      <c r="H146">
        <v>3</v>
      </c>
      <c r="I146" t="s">
        <v>23</v>
      </c>
      <c r="J146" s="4" t="s">
        <v>22</v>
      </c>
      <c r="K146">
        <v>0.1053</v>
      </c>
      <c r="L146">
        <v>19</v>
      </c>
      <c r="M146" t="s">
        <v>16</v>
      </c>
      <c r="N146" t="s">
        <v>16</v>
      </c>
      <c r="O146" s="3">
        <v>37650</v>
      </c>
      <c r="P146" s="3">
        <v>44501</v>
      </c>
      <c r="Q146" s="1">
        <v>1.6470554794520549</v>
      </c>
      <c r="R146" s="7">
        <v>18.769863013698629</v>
      </c>
      <c r="S146">
        <v>1.2</v>
      </c>
      <c r="T146" s="2">
        <v>3.1764665753424657</v>
      </c>
      <c r="U146" t="s">
        <v>13</v>
      </c>
    </row>
    <row r="147" spans="1:21" hidden="1" x14ac:dyDescent="0.25">
      <c r="A147" t="s">
        <v>220</v>
      </c>
      <c r="B147">
        <v>34.727491999999998</v>
      </c>
      <c r="C147">
        <v>-98.515336000000005</v>
      </c>
      <c r="D147" t="s">
        <v>255</v>
      </c>
      <c r="E147" t="s">
        <v>240</v>
      </c>
      <c r="F147" t="s">
        <v>11</v>
      </c>
      <c r="G147" t="s">
        <v>222</v>
      </c>
      <c r="H147">
        <v>1</v>
      </c>
      <c r="I147" t="s">
        <v>23</v>
      </c>
      <c r="J147" s="4" t="s">
        <v>40</v>
      </c>
      <c r="K147">
        <v>7.4830000000000001E-3</v>
      </c>
      <c r="L147">
        <v>25</v>
      </c>
      <c r="M147" t="s">
        <v>16</v>
      </c>
      <c r="N147" t="s">
        <v>17</v>
      </c>
      <c r="O147" s="3">
        <v>36446</v>
      </c>
      <c r="P147" s="3">
        <v>44507</v>
      </c>
      <c r="Q147" s="1">
        <v>0.48606336019339219</v>
      </c>
      <c r="R147" s="7">
        <v>22.084931506849315</v>
      </c>
      <c r="S147">
        <v>0.34</v>
      </c>
      <c r="T147" s="2">
        <v>0.50526154246575339</v>
      </c>
      <c r="U147" t="s">
        <v>24</v>
      </c>
    </row>
    <row r="148" spans="1:21" hidden="1" x14ac:dyDescent="0.25">
      <c r="A148" t="s">
        <v>220</v>
      </c>
      <c r="B148">
        <v>34.727491999999998</v>
      </c>
      <c r="C148">
        <v>-98.515336000000005</v>
      </c>
      <c r="D148" t="s">
        <v>255</v>
      </c>
      <c r="E148" t="s">
        <v>240</v>
      </c>
      <c r="F148" t="s">
        <v>11</v>
      </c>
      <c r="G148" t="s">
        <v>224</v>
      </c>
      <c r="H148">
        <v>99</v>
      </c>
      <c r="I148" t="s">
        <v>15</v>
      </c>
      <c r="J148" s="4" t="s">
        <v>186</v>
      </c>
      <c r="K148" t="s">
        <v>15</v>
      </c>
      <c r="L148">
        <v>9</v>
      </c>
      <c r="M148" s="3" t="s">
        <v>186</v>
      </c>
      <c r="N148" s="3" t="s">
        <v>186</v>
      </c>
      <c r="O148" s="3" t="s">
        <v>186</v>
      </c>
      <c r="P148" s="3" t="s">
        <v>186</v>
      </c>
      <c r="Q148" s="1" t="s">
        <v>186</v>
      </c>
      <c r="R148" s="7" t="s">
        <v>186</v>
      </c>
      <c r="S148" t="s">
        <v>186</v>
      </c>
      <c r="T148" t="s">
        <v>186</v>
      </c>
      <c r="U148" t="s">
        <v>19</v>
      </c>
    </row>
    <row r="149" spans="1:21" hidden="1" x14ac:dyDescent="0.25">
      <c r="A149" t="s">
        <v>220</v>
      </c>
      <c r="B149">
        <v>34.727491999999998</v>
      </c>
      <c r="C149">
        <v>-98.515336000000005</v>
      </c>
      <c r="D149" t="s">
        <v>255</v>
      </c>
      <c r="E149" t="s">
        <v>240</v>
      </c>
      <c r="F149" t="s">
        <v>11</v>
      </c>
      <c r="G149" t="s">
        <v>225</v>
      </c>
      <c r="H149">
        <v>3</v>
      </c>
      <c r="I149" t="s">
        <v>23</v>
      </c>
      <c r="J149" t="s">
        <v>22</v>
      </c>
      <c r="K149" s="2">
        <v>1.996</v>
      </c>
      <c r="L149">
        <v>21</v>
      </c>
      <c r="M149" t="s">
        <v>16</v>
      </c>
      <c r="N149" t="s">
        <v>17</v>
      </c>
      <c r="O149" s="3">
        <v>36445</v>
      </c>
      <c r="P149" s="3">
        <v>44507</v>
      </c>
      <c r="Q149" s="1">
        <v>0.58782655707762554</v>
      </c>
      <c r="R149" s="7">
        <v>22.087671232876712</v>
      </c>
      <c r="S149">
        <v>75</v>
      </c>
      <c r="T149" s="2">
        <v>119.08699178082192</v>
      </c>
      <c r="U149" t="s">
        <v>21</v>
      </c>
    </row>
    <row r="150" spans="1:21" hidden="1" x14ac:dyDescent="0.25">
      <c r="A150" t="s">
        <v>220</v>
      </c>
      <c r="B150">
        <v>34.727491999999998</v>
      </c>
      <c r="C150">
        <v>-98.515336000000005</v>
      </c>
      <c r="D150" t="s">
        <v>255</v>
      </c>
      <c r="E150" t="s">
        <v>240</v>
      </c>
      <c r="F150" t="s">
        <v>11</v>
      </c>
      <c r="G150" t="s">
        <v>223</v>
      </c>
      <c r="H150">
        <v>0</v>
      </c>
      <c r="I150" t="s">
        <v>15</v>
      </c>
      <c r="J150" t="s">
        <v>14</v>
      </c>
      <c r="K150" t="s">
        <v>15</v>
      </c>
      <c r="L150">
        <v>24</v>
      </c>
      <c r="M150" t="s">
        <v>16</v>
      </c>
      <c r="N150" t="s">
        <v>16</v>
      </c>
      <c r="O150" s="3">
        <v>36446</v>
      </c>
      <c r="P150" s="3">
        <v>44467</v>
      </c>
      <c r="Q150" s="1" t="s">
        <v>14</v>
      </c>
      <c r="R150" s="7">
        <v>21.975342465753425</v>
      </c>
      <c r="S150" t="s">
        <v>14</v>
      </c>
      <c r="T150" t="s">
        <v>14</v>
      </c>
      <c r="U150" t="s">
        <v>24</v>
      </c>
    </row>
    <row r="151" spans="1:21" hidden="1" x14ac:dyDescent="0.25">
      <c r="A151" t="s">
        <v>220</v>
      </c>
      <c r="B151">
        <v>34.727491999999998</v>
      </c>
      <c r="C151">
        <v>-98.515336000000005</v>
      </c>
      <c r="D151" t="s">
        <v>255</v>
      </c>
      <c r="E151" t="s">
        <v>240</v>
      </c>
      <c r="F151" t="s">
        <v>11</v>
      </c>
      <c r="G151" t="s">
        <v>226</v>
      </c>
      <c r="H151">
        <v>99</v>
      </c>
      <c r="I151" t="s">
        <v>15</v>
      </c>
      <c r="J151" t="s">
        <v>186</v>
      </c>
      <c r="K151" t="s">
        <v>15</v>
      </c>
      <c r="L151">
        <v>14</v>
      </c>
      <c r="M151" t="s">
        <v>16</v>
      </c>
      <c r="N151" t="s">
        <v>17</v>
      </c>
      <c r="O151" s="3" t="s">
        <v>186</v>
      </c>
      <c r="P151" s="3" t="s">
        <v>186</v>
      </c>
      <c r="Q151" s="1" t="s">
        <v>186</v>
      </c>
      <c r="R151" s="7" t="s">
        <v>186</v>
      </c>
      <c r="S151" t="s">
        <v>186</v>
      </c>
      <c r="T151" t="s">
        <v>186</v>
      </c>
      <c r="U151" t="s">
        <v>27</v>
      </c>
    </row>
    <row r="152" spans="1:21" hidden="1" x14ac:dyDescent="0.25">
      <c r="A152" s="5" t="s">
        <v>58</v>
      </c>
      <c r="B152">
        <v>36.373888999999998</v>
      </c>
      <c r="C152">
        <v>-94.933636000000007</v>
      </c>
      <c r="D152" t="s">
        <v>256</v>
      </c>
      <c r="E152" t="s">
        <v>240</v>
      </c>
      <c r="F152" t="s">
        <v>11</v>
      </c>
      <c r="G152" t="s">
        <v>221</v>
      </c>
      <c r="H152">
        <v>3</v>
      </c>
      <c r="I152" t="s">
        <v>23</v>
      </c>
      <c r="J152" s="4" t="s">
        <v>22</v>
      </c>
      <c r="K152" s="6">
        <v>0.46210000000000001</v>
      </c>
      <c r="L152" s="6">
        <v>49</v>
      </c>
      <c r="M152" s="5" t="s">
        <v>17</v>
      </c>
      <c r="N152" s="5" t="s">
        <v>17</v>
      </c>
      <c r="O152" s="3">
        <v>37546</v>
      </c>
      <c r="P152" s="3">
        <v>44880</v>
      </c>
      <c r="Q152" s="1">
        <v>1.6881899875466999</v>
      </c>
      <c r="R152" s="7">
        <v>20.093150684931508</v>
      </c>
      <c r="S152">
        <v>5.5</v>
      </c>
      <c r="T152" s="2">
        <v>14.78504493150685</v>
      </c>
      <c r="U152" t="s">
        <v>13</v>
      </c>
    </row>
    <row r="153" spans="1:21" hidden="1" x14ac:dyDescent="0.25">
      <c r="A153" s="5" t="s">
        <v>58</v>
      </c>
      <c r="B153">
        <v>36.373888999999998</v>
      </c>
      <c r="C153">
        <v>-94.933636000000007</v>
      </c>
      <c r="D153" t="s">
        <v>256</v>
      </c>
      <c r="E153" t="s">
        <v>240</v>
      </c>
      <c r="F153" t="s">
        <v>11</v>
      </c>
      <c r="G153" t="s">
        <v>222</v>
      </c>
      <c r="H153">
        <v>0</v>
      </c>
      <c r="I153" t="s">
        <v>15</v>
      </c>
      <c r="J153" t="s">
        <v>14</v>
      </c>
      <c r="K153" t="s">
        <v>15</v>
      </c>
      <c r="L153" s="6">
        <v>32</v>
      </c>
      <c r="M153" s="5" t="s">
        <v>17</v>
      </c>
      <c r="N153" s="5" t="s">
        <v>17</v>
      </c>
      <c r="O153" s="3">
        <v>37546</v>
      </c>
      <c r="P153" s="3">
        <v>44844</v>
      </c>
      <c r="Q153" s="1" t="s">
        <v>14</v>
      </c>
      <c r="R153" s="7">
        <v>19.994520547945207</v>
      </c>
      <c r="S153" t="s">
        <v>14</v>
      </c>
      <c r="T153" t="s">
        <v>14</v>
      </c>
      <c r="U153" t="s">
        <v>24</v>
      </c>
    </row>
    <row r="154" spans="1:21" hidden="1" x14ac:dyDescent="0.25">
      <c r="A154" s="5" t="s">
        <v>58</v>
      </c>
      <c r="B154">
        <v>36.373888999999998</v>
      </c>
      <c r="C154">
        <v>-94.933636000000007</v>
      </c>
      <c r="D154" t="s">
        <v>256</v>
      </c>
      <c r="E154" t="s">
        <v>240</v>
      </c>
      <c r="F154" t="s">
        <v>11</v>
      </c>
      <c r="G154" t="s">
        <v>224</v>
      </c>
      <c r="H154">
        <v>0</v>
      </c>
      <c r="I154" t="s">
        <v>15</v>
      </c>
      <c r="J154" s="5" t="s">
        <v>14</v>
      </c>
      <c r="K154" t="s">
        <v>15</v>
      </c>
      <c r="L154" s="6">
        <v>31</v>
      </c>
      <c r="M154" s="5" t="s">
        <v>31</v>
      </c>
      <c r="N154" s="5" t="s">
        <v>17</v>
      </c>
      <c r="O154" s="3">
        <v>37546</v>
      </c>
      <c r="P154" s="3">
        <v>44844</v>
      </c>
      <c r="Q154" s="1" t="s">
        <v>14</v>
      </c>
      <c r="R154" s="7">
        <v>19.994520547945207</v>
      </c>
      <c r="S154" t="s">
        <v>14</v>
      </c>
      <c r="T154" t="s">
        <v>14</v>
      </c>
      <c r="U154" t="s">
        <v>19</v>
      </c>
    </row>
    <row r="155" spans="1:21" hidden="1" x14ac:dyDescent="0.25">
      <c r="A155" t="s">
        <v>58</v>
      </c>
      <c r="B155">
        <v>36.373888999999998</v>
      </c>
      <c r="C155">
        <v>-94.933636000000007</v>
      </c>
      <c r="D155" t="s">
        <v>256</v>
      </c>
      <c r="E155" t="s">
        <v>240</v>
      </c>
      <c r="F155" t="s">
        <v>11</v>
      </c>
      <c r="G155" t="s">
        <v>225</v>
      </c>
      <c r="H155">
        <v>0</v>
      </c>
      <c r="I155" t="s">
        <v>15</v>
      </c>
      <c r="J155" t="s">
        <v>14</v>
      </c>
      <c r="K155" s="2" t="s">
        <v>15</v>
      </c>
      <c r="L155">
        <v>26</v>
      </c>
      <c r="M155" t="s">
        <v>17</v>
      </c>
      <c r="N155" t="s">
        <v>17</v>
      </c>
      <c r="O155" s="3">
        <v>37546</v>
      </c>
      <c r="P155" s="3">
        <v>44844</v>
      </c>
      <c r="Q155" s="1" t="s">
        <v>14</v>
      </c>
      <c r="R155" s="7">
        <v>19.994520547945207</v>
      </c>
      <c r="S155" t="s">
        <v>14</v>
      </c>
      <c r="T155" t="s">
        <v>14</v>
      </c>
      <c r="U155" t="s">
        <v>21</v>
      </c>
    </row>
    <row r="156" spans="1:21" hidden="1" x14ac:dyDescent="0.25">
      <c r="A156" s="5" t="s">
        <v>58</v>
      </c>
      <c r="B156">
        <v>36.373888999999998</v>
      </c>
      <c r="C156">
        <v>-94.933636000000007</v>
      </c>
      <c r="D156" t="s">
        <v>256</v>
      </c>
      <c r="E156" t="s">
        <v>240</v>
      </c>
      <c r="F156" t="s">
        <v>11</v>
      </c>
      <c r="G156" t="s">
        <v>223</v>
      </c>
      <c r="H156">
        <v>0</v>
      </c>
      <c r="I156" t="s">
        <v>15</v>
      </c>
      <c r="J156" t="s">
        <v>14</v>
      </c>
      <c r="K156" t="s">
        <v>15</v>
      </c>
      <c r="L156" s="6">
        <v>31</v>
      </c>
      <c r="M156" s="5" t="s">
        <v>16</v>
      </c>
      <c r="N156" s="5" t="s">
        <v>17</v>
      </c>
      <c r="O156" s="3">
        <v>37546</v>
      </c>
      <c r="P156" s="3">
        <v>44844</v>
      </c>
      <c r="Q156" s="1" t="s">
        <v>14</v>
      </c>
      <c r="R156" s="7">
        <v>19.994520547945207</v>
      </c>
      <c r="S156" t="s">
        <v>14</v>
      </c>
      <c r="T156" t="s">
        <v>14</v>
      </c>
      <c r="U156" t="s">
        <v>24</v>
      </c>
    </row>
    <row r="157" spans="1:21" hidden="1" x14ac:dyDescent="0.25">
      <c r="A157" s="5" t="s">
        <v>58</v>
      </c>
      <c r="B157">
        <v>36.373888999999998</v>
      </c>
      <c r="C157">
        <v>-94.933636000000007</v>
      </c>
      <c r="D157" t="s">
        <v>256</v>
      </c>
      <c r="E157" t="s">
        <v>240</v>
      </c>
      <c r="F157" t="s">
        <v>11</v>
      </c>
      <c r="G157" t="s">
        <v>226</v>
      </c>
      <c r="H157">
        <v>0</v>
      </c>
      <c r="I157" t="s">
        <v>15</v>
      </c>
      <c r="J157" s="5" t="s">
        <v>14</v>
      </c>
      <c r="K157" t="s">
        <v>15</v>
      </c>
      <c r="L157" s="6">
        <v>31</v>
      </c>
      <c r="M157" s="5" t="s">
        <v>31</v>
      </c>
      <c r="N157" s="5" t="s">
        <v>17</v>
      </c>
      <c r="O157" s="3">
        <v>37546</v>
      </c>
      <c r="P157" s="3">
        <v>44844</v>
      </c>
      <c r="Q157" s="1" t="s">
        <v>14</v>
      </c>
      <c r="R157" s="7">
        <v>19.994520547945207</v>
      </c>
      <c r="S157" t="s">
        <v>14</v>
      </c>
      <c r="T157" t="s">
        <v>14</v>
      </c>
      <c r="U157" t="s">
        <v>27</v>
      </c>
    </row>
    <row r="158" spans="1:21" hidden="1" x14ac:dyDescent="0.25">
      <c r="A158" t="s">
        <v>59</v>
      </c>
      <c r="B158">
        <v>35.461500000000001</v>
      </c>
      <c r="C158">
        <v>-95.609729999999999</v>
      </c>
      <c r="D158" t="s">
        <v>257</v>
      </c>
      <c r="E158" t="s">
        <v>240</v>
      </c>
      <c r="F158" t="s">
        <v>11</v>
      </c>
      <c r="G158" t="s">
        <v>221</v>
      </c>
      <c r="H158">
        <v>0</v>
      </c>
      <c r="I158" t="s">
        <v>15</v>
      </c>
      <c r="J158" t="s">
        <v>14</v>
      </c>
      <c r="K158" t="s">
        <v>15</v>
      </c>
      <c r="L158">
        <v>38</v>
      </c>
      <c r="M158" t="s">
        <v>17</v>
      </c>
      <c r="N158" t="s">
        <v>17</v>
      </c>
      <c r="O158" s="3">
        <v>37592</v>
      </c>
      <c r="P158" s="3">
        <v>44881</v>
      </c>
      <c r="Q158" s="1" t="s">
        <v>14</v>
      </c>
      <c r="R158" s="7">
        <v>19.969863013698632</v>
      </c>
      <c r="S158" t="s">
        <v>14</v>
      </c>
      <c r="T158" t="s">
        <v>14</v>
      </c>
      <c r="U158" t="s">
        <v>13</v>
      </c>
    </row>
    <row r="159" spans="1:21" hidden="1" x14ac:dyDescent="0.25">
      <c r="A159" t="s">
        <v>59</v>
      </c>
      <c r="B159">
        <v>35.461500000000001</v>
      </c>
      <c r="C159">
        <v>-95.609729999999999</v>
      </c>
      <c r="D159" t="s">
        <v>257</v>
      </c>
      <c r="E159" t="s">
        <v>240</v>
      </c>
      <c r="F159" t="s">
        <v>11</v>
      </c>
      <c r="G159" t="s">
        <v>222</v>
      </c>
      <c r="H159">
        <v>3</v>
      </c>
      <c r="I159" t="s">
        <v>23</v>
      </c>
      <c r="J159" s="4" t="s">
        <v>22</v>
      </c>
      <c r="K159">
        <v>7.5079999999999999E-3</v>
      </c>
      <c r="L159">
        <v>46</v>
      </c>
      <c r="M159" t="s">
        <v>17</v>
      </c>
      <c r="N159" t="s">
        <v>17</v>
      </c>
      <c r="O159" s="3">
        <v>36467</v>
      </c>
      <c r="P159" s="3">
        <v>44881</v>
      </c>
      <c r="Q159" s="1">
        <v>0.26626896522655435</v>
      </c>
      <c r="R159" s="7">
        <v>23.052054794520547</v>
      </c>
      <c r="S159">
        <v>0.65</v>
      </c>
      <c r="T159" s="2">
        <v>0.82307482739726034</v>
      </c>
      <c r="U159" t="s">
        <v>24</v>
      </c>
    </row>
    <row r="160" spans="1:21" hidden="1" x14ac:dyDescent="0.25">
      <c r="A160" t="s">
        <v>59</v>
      </c>
      <c r="B160">
        <v>35.461500000000001</v>
      </c>
      <c r="C160">
        <v>-95.609729999999999</v>
      </c>
      <c r="D160" t="s">
        <v>257</v>
      </c>
      <c r="E160" t="s">
        <v>240</v>
      </c>
      <c r="F160" t="s">
        <v>11</v>
      </c>
      <c r="G160" t="s">
        <v>224</v>
      </c>
      <c r="H160">
        <v>0</v>
      </c>
      <c r="I160" t="s">
        <v>15</v>
      </c>
      <c r="J160" t="s">
        <v>14</v>
      </c>
      <c r="K160" t="s">
        <v>15</v>
      </c>
      <c r="L160">
        <v>30</v>
      </c>
      <c r="M160" t="s">
        <v>17</v>
      </c>
      <c r="N160" t="s">
        <v>17</v>
      </c>
      <c r="O160" s="3">
        <v>38306</v>
      </c>
      <c r="P160" s="3">
        <v>44881</v>
      </c>
      <c r="Q160" s="1" t="s">
        <v>14</v>
      </c>
      <c r="R160" s="7">
        <v>18.013698630136986</v>
      </c>
      <c r="S160" t="s">
        <v>14</v>
      </c>
      <c r="T160" t="s">
        <v>14</v>
      </c>
      <c r="U160" t="s">
        <v>19</v>
      </c>
    </row>
    <row r="161" spans="1:21" hidden="1" x14ac:dyDescent="0.25">
      <c r="A161" t="s">
        <v>59</v>
      </c>
      <c r="B161">
        <v>35.461500000000001</v>
      </c>
      <c r="C161">
        <v>-95.609729999999999</v>
      </c>
      <c r="D161" t="s">
        <v>257</v>
      </c>
      <c r="E161" t="s">
        <v>240</v>
      </c>
      <c r="F161" t="s">
        <v>11</v>
      </c>
      <c r="G161" t="s">
        <v>225</v>
      </c>
      <c r="H161">
        <v>-1</v>
      </c>
      <c r="I161" t="s">
        <v>29</v>
      </c>
      <c r="J161" t="s">
        <v>28</v>
      </c>
      <c r="K161" s="2">
        <v>-2.0640000000000001</v>
      </c>
      <c r="L161">
        <v>43</v>
      </c>
      <c r="M161" t="s">
        <v>17</v>
      </c>
      <c r="N161" t="s">
        <v>17</v>
      </c>
      <c r="O161" s="3">
        <v>36467</v>
      </c>
      <c r="P161" s="3">
        <v>44881</v>
      </c>
      <c r="Q161" s="1">
        <v>-0.11604741730704973</v>
      </c>
      <c r="R161" s="7">
        <v>23.052054794520547</v>
      </c>
      <c r="S161">
        <v>410</v>
      </c>
      <c r="T161" s="2">
        <v>362.42055890410961</v>
      </c>
      <c r="U161" t="s">
        <v>21</v>
      </c>
    </row>
    <row r="162" spans="1:21" hidden="1" x14ac:dyDescent="0.25">
      <c r="A162" t="s">
        <v>59</v>
      </c>
      <c r="B162">
        <v>35.461500000000001</v>
      </c>
      <c r="C162">
        <v>-95.609729999999999</v>
      </c>
      <c r="D162" t="s">
        <v>257</v>
      </c>
      <c r="E162" t="s">
        <v>240</v>
      </c>
      <c r="F162" t="s">
        <v>11</v>
      </c>
      <c r="G162" t="s">
        <v>223</v>
      </c>
      <c r="H162">
        <v>2</v>
      </c>
      <c r="I162" t="s">
        <v>23</v>
      </c>
      <c r="J162" s="4" t="s">
        <v>38</v>
      </c>
      <c r="K162">
        <v>7.3879999999999996E-4</v>
      </c>
      <c r="L162">
        <v>46</v>
      </c>
      <c r="M162" t="s">
        <v>17</v>
      </c>
      <c r="N162" t="s">
        <v>17</v>
      </c>
      <c r="O162" s="3">
        <v>36467</v>
      </c>
      <c r="P162" s="3">
        <v>44923</v>
      </c>
      <c r="Q162" s="1">
        <v>0.31119764881693635</v>
      </c>
      <c r="R162" s="7">
        <v>23.167123287671235</v>
      </c>
      <c r="S162">
        <v>5.5E-2</v>
      </c>
      <c r="T162" s="2">
        <v>7.2115870684931499E-2</v>
      </c>
      <c r="U162" t="s">
        <v>24</v>
      </c>
    </row>
    <row r="163" spans="1:21" hidden="1" x14ac:dyDescent="0.25">
      <c r="A163" t="s">
        <v>59</v>
      </c>
      <c r="B163">
        <v>35.461500000000001</v>
      </c>
      <c r="C163">
        <v>-95.609729999999999</v>
      </c>
      <c r="D163" t="s">
        <v>257</v>
      </c>
      <c r="E163" t="s">
        <v>240</v>
      </c>
      <c r="F163" t="s">
        <v>11</v>
      </c>
      <c r="G163" t="s">
        <v>226</v>
      </c>
      <c r="H163">
        <v>2</v>
      </c>
      <c r="I163" t="s">
        <v>23</v>
      </c>
      <c r="J163" s="5" t="s">
        <v>38</v>
      </c>
      <c r="K163">
        <v>0.51070000000000004</v>
      </c>
      <c r="L163">
        <v>34</v>
      </c>
      <c r="M163" t="s">
        <v>17</v>
      </c>
      <c r="N163" t="s">
        <v>17</v>
      </c>
      <c r="O163" s="3">
        <v>38306</v>
      </c>
      <c r="P163" s="3">
        <v>44881</v>
      </c>
      <c r="Q163" s="1">
        <v>0.41816344956413459</v>
      </c>
      <c r="R163" s="7">
        <v>18.013698630136986</v>
      </c>
      <c r="S163">
        <v>22</v>
      </c>
      <c r="T163" s="2">
        <v>31.199595890410961</v>
      </c>
      <c r="U163" t="s">
        <v>27</v>
      </c>
    </row>
    <row r="164" spans="1:21" hidden="1" x14ac:dyDescent="0.25">
      <c r="A164" t="s">
        <v>60</v>
      </c>
      <c r="B164">
        <v>36.606983</v>
      </c>
      <c r="C164">
        <v>-96.727828000000002</v>
      </c>
      <c r="D164" t="s">
        <v>244</v>
      </c>
      <c r="E164" t="s">
        <v>240</v>
      </c>
      <c r="F164" t="s">
        <v>11</v>
      </c>
      <c r="G164" t="s">
        <v>221</v>
      </c>
      <c r="H164">
        <v>3</v>
      </c>
      <c r="I164" t="s">
        <v>23</v>
      </c>
      <c r="J164" s="4" t="s">
        <v>22</v>
      </c>
      <c r="K164">
        <v>0.70599999999999996</v>
      </c>
      <c r="L164">
        <v>23</v>
      </c>
      <c r="M164" t="s">
        <v>16</v>
      </c>
      <c r="N164" t="s">
        <v>17</v>
      </c>
      <c r="O164" s="3">
        <v>37893</v>
      </c>
      <c r="P164" s="3">
        <v>44929</v>
      </c>
      <c r="Q164" s="1">
        <v>4.5364529680365289</v>
      </c>
      <c r="R164" s="7">
        <v>19.276712328767122</v>
      </c>
      <c r="S164">
        <v>3</v>
      </c>
      <c r="T164" s="2">
        <v>16.609358904109587</v>
      </c>
      <c r="U164" t="s">
        <v>13</v>
      </c>
    </row>
    <row r="165" spans="1:21" hidden="1" x14ac:dyDescent="0.25">
      <c r="A165" t="s">
        <v>60</v>
      </c>
      <c r="B165">
        <v>36.606983</v>
      </c>
      <c r="C165">
        <v>-96.727828000000002</v>
      </c>
      <c r="D165" t="s">
        <v>244</v>
      </c>
      <c r="E165" t="s">
        <v>240</v>
      </c>
      <c r="F165" t="s">
        <v>11</v>
      </c>
      <c r="G165" t="s">
        <v>222</v>
      </c>
      <c r="H165">
        <v>2</v>
      </c>
      <c r="I165" t="s">
        <v>23</v>
      </c>
      <c r="J165" s="4" t="s">
        <v>38</v>
      </c>
      <c r="K165">
        <v>7.8549999999999991E-3</v>
      </c>
      <c r="L165">
        <v>33</v>
      </c>
      <c r="M165" t="s">
        <v>31</v>
      </c>
      <c r="N165" t="s">
        <v>17</v>
      </c>
      <c r="O165" s="3">
        <v>35942</v>
      </c>
      <c r="P165" s="3">
        <v>44590</v>
      </c>
      <c r="Q165" s="1">
        <v>0.31018283105022826</v>
      </c>
      <c r="R165" s="7">
        <v>23.693150684931506</v>
      </c>
      <c r="S165">
        <v>0.6</v>
      </c>
      <c r="T165" s="2">
        <v>0.78610969863013691</v>
      </c>
      <c r="U165" t="s">
        <v>24</v>
      </c>
    </row>
    <row r="166" spans="1:21" hidden="1" x14ac:dyDescent="0.25">
      <c r="A166" t="s">
        <v>60</v>
      </c>
      <c r="B166">
        <v>36.606983</v>
      </c>
      <c r="C166">
        <v>-96.727828000000002</v>
      </c>
      <c r="D166" t="s">
        <v>244</v>
      </c>
      <c r="E166" t="s">
        <v>240</v>
      </c>
      <c r="F166" t="s">
        <v>11</v>
      </c>
      <c r="G166" t="s">
        <v>224</v>
      </c>
      <c r="H166">
        <v>0</v>
      </c>
      <c r="I166" t="s">
        <v>15</v>
      </c>
      <c r="J166" t="s">
        <v>14</v>
      </c>
      <c r="K166" t="s">
        <v>15</v>
      </c>
      <c r="L166">
        <v>22</v>
      </c>
      <c r="M166" t="s">
        <v>31</v>
      </c>
      <c r="N166" t="s">
        <v>17</v>
      </c>
      <c r="O166" s="3">
        <v>37192</v>
      </c>
      <c r="P166" s="3">
        <v>44894</v>
      </c>
      <c r="Q166" s="1" t="s">
        <v>14</v>
      </c>
      <c r="R166" s="7">
        <v>21.101369863013698</v>
      </c>
      <c r="S166" t="s">
        <v>14</v>
      </c>
      <c r="T166" t="s">
        <v>14</v>
      </c>
      <c r="U166" t="s">
        <v>19</v>
      </c>
    </row>
    <row r="167" spans="1:21" hidden="1" x14ac:dyDescent="0.25">
      <c r="A167" t="s">
        <v>60</v>
      </c>
      <c r="B167">
        <v>36.606983</v>
      </c>
      <c r="C167">
        <v>-96.727828000000002</v>
      </c>
      <c r="D167" t="s">
        <v>244</v>
      </c>
      <c r="E167" t="s">
        <v>240</v>
      </c>
      <c r="F167" t="s">
        <v>11</v>
      </c>
      <c r="G167" t="s">
        <v>225</v>
      </c>
      <c r="H167">
        <v>0</v>
      </c>
      <c r="I167" t="s">
        <v>15</v>
      </c>
      <c r="J167" t="s">
        <v>14</v>
      </c>
      <c r="K167" s="2" t="s">
        <v>15</v>
      </c>
      <c r="L167">
        <v>30</v>
      </c>
      <c r="M167" t="s">
        <v>16</v>
      </c>
      <c r="N167" t="s">
        <v>17</v>
      </c>
      <c r="O167" s="3">
        <v>35942</v>
      </c>
      <c r="P167" s="3">
        <v>44894</v>
      </c>
      <c r="Q167" s="1" t="s">
        <v>14</v>
      </c>
      <c r="R167" s="7">
        <v>24.526027397260275</v>
      </c>
      <c r="S167" t="s">
        <v>14</v>
      </c>
      <c r="T167" t="s">
        <v>14</v>
      </c>
      <c r="U167" t="s">
        <v>21</v>
      </c>
    </row>
    <row r="168" spans="1:21" hidden="1" x14ac:dyDescent="0.25">
      <c r="A168" t="s">
        <v>60</v>
      </c>
      <c r="B168">
        <v>36.606983</v>
      </c>
      <c r="C168">
        <v>-96.727828000000002</v>
      </c>
      <c r="D168" t="s">
        <v>244</v>
      </c>
      <c r="E168" t="s">
        <v>240</v>
      </c>
      <c r="F168" t="s">
        <v>11</v>
      </c>
      <c r="G168" t="s">
        <v>223</v>
      </c>
      <c r="H168">
        <v>0</v>
      </c>
      <c r="I168" t="s">
        <v>15</v>
      </c>
      <c r="J168" t="s">
        <v>14</v>
      </c>
      <c r="K168" t="s">
        <v>15</v>
      </c>
      <c r="L168">
        <v>33</v>
      </c>
      <c r="M168" t="s">
        <v>16</v>
      </c>
      <c r="N168" t="s">
        <v>31</v>
      </c>
      <c r="O168" s="3">
        <v>35942</v>
      </c>
      <c r="P168" s="3">
        <v>44894</v>
      </c>
      <c r="Q168" s="1" t="s">
        <v>14</v>
      </c>
      <c r="R168" s="7">
        <v>24.526027397260275</v>
      </c>
      <c r="S168" t="s">
        <v>14</v>
      </c>
      <c r="T168" t="s">
        <v>14</v>
      </c>
      <c r="U168" t="s">
        <v>24</v>
      </c>
    </row>
    <row r="169" spans="1:21" hidden="1" x14ac:dyDescent="0.25">
      <c r="A169" t="s">
        <v>60</v>
      </c>
      <c r="B169">
        <v>36.606983</v>
      </c>
      <c r="C169">
        <v>-96.727828000000002</v>
      </c>
      <c r="D169" t="s">
        <v>244</v>
      </c>
      <c r="E169" t="s">
        <v>240</v>
      </c>
      <c r="F169" t="s">
        <v>11</v>
      </c>
      <c r="G169" t="s">
        <v>226</v>
      </c>
      <c r="H169">
        <v>0</v>
      </c>
      <c r="I169" t="s">
        <v>15</v>
      </c>
      <c r="J169" t="s">
        <v>14</v>
      </c>
      <c r="K169" t="s">
        <v>15</v>
      </c>
      <c r="L169">
        <v>22</v>
      </c>
      <c r="M169" t="s">
        <v>16</v>
      </c>
      <c r="N169" t="s">
        <v>17</v>
      </c>
      <c r="O169" s="3">
        <v>37192</v>
      </c>
      <c r="P169" s="3">
        <v>44894</v>
      </c>
      <c r="Q169" s="1" t="s">
        <v>14</v>
      </c>
      <c r="R169" s="7">
        <v>21.101369863013698</v>
      </c>
      <c r="S169" t="s">
        <v>14</v>
      </c>
      <c r="T169" t="s">
        <v>14</v>
      </c>
      <c r="U169" t="s">
        <v>27</v>
      </c>
    </row>
    <row r="170" spans="1:21" hidden="1" x14ac:dyDescent="0.25">
      <c r="A170" t="s">
        <v>61</v>
      </c>
      <c r="B170">
        <v>35.162153000000004</v>
      </c>
      <c r="C170">
        <v>-98.456835999999996</v>
      </c>
      <c r="D170" t="s">
        <v>249</v>
      </c>
      <c r="E170" t="s">
        <v>240</v>
      </c>
      <c r="F170" t="s">
        <v>11</v>
      </c>
      <c r="G170" t="s">
        <v>221</v>
      </c>
      <c r="H170">
        <v>0</v>
      </c>
      <c r="I170" t="s">
        <v>15</v>
      </c>
      <c r="J170" s="5" t="s">
        <v>14</v>
      </c>
      <c r="K170" t="s">
        <v>15</v>
      </c>
      <c r="L170">
        <v>39</v>
      </c>
      <c r="M170" t="s">
        <v>31</v>
      </c>
      <c r="N170" t="s">
        <v>17</v>
      </c>
      <c r="O170" s="3">
        <v>37481</v>
      </c>
      <c r="P170" s="3">
        <v>44872</v>
      </c>
      <c r="Q170" s="1" t="s">
        <v>14</v>
      </c>
      <c r="R170" s="7">
        <v>20.24931506849315</v>
      </c>
      <c r="S170" t="s">
        <v>14</v>
      </c>
      <c r="T170" t="s">
        <v>14</v>
      </c>
      <c r="U170" t="s">
        <v>13</v>
      </c>
    </row>
    <row r="171" spans="1:21" hidden="1" x14ac:dyDescent="0.25">
      <c r="A171" t="s">
        <v>61</v>
      </c>
      <c r="B171">
        <v>35.162153000000004</v>
      </c>
      <c r="C171">
        <v>-98.456835999999996</v>
      </c>
      <c r="D171" t="s">
        <v>249</v>
      </c>
      <c r="E171" t="s">
        <v>240</v>
      </c>
      <c r="F171" t="s">
        <v>11</v>
      </c>
      <c r="G171" t="s">
        <v>222</v>
      </c>
      <c r="H171">
        <v>3</v>
      </c>
      <c r="I171" t="s">
        <v>23</v>
      </c>
      <c r="J171" s="4" t="s">
        <v>22</v>
      </c>
      <c r="K171">
        <v>1.0619999999999999E-2</v>
      </c>
      <c r="L171">
        <v>48</v>
      </c>
      <c r="M171" t="s">
        <v>16</v>
      </c>
      <c r="N171" t="s">
        <v>17</v>
      </c>
      <c r="O171" s="3">
        <v>35906</v>
      </c>
      <c r="P171" s="3">
        <v>44872</v>
      </c>
      <c r="Q171" s="1">
        <v>0.23715795765877948</v>
      </c>
      <c r="R171" s="7">
        <v>24.564383561643837</v>
      </c>
      <c r="S171">
        <v>1.1000000000000001</v>
      </c>
      <c r="T171" s="2">
        <v>1.3608737534246576</v>
      </c>
      <c r="U171" t="s">
        <v>24</v>
      </c>
    </row>
    <row r="172" spans="1:21" hidden="1" x14ac:dyDescent="0.25">
      <c r="A172" t="s">
        <v>61</v>
      </c>
      <c r="B172">
        <v>35.162153000000004</v>
      </c>
      <c r="C172">
        <v>-98.456835999999996</v>
      </c>
      <c r="D172" t="s">
        <v>249</v>
      </c>
      <c r="E172" t="s">
        <v>240</v>
      </c>
      <c r="F172" t="s">
        <v>11</v>
      </c>
      <c r="G172" t="s">
        <v>224</v>
      </c>
      <c r="H172">
        <v>2</v>
      </c>
      <c r="I172" t="s">
        <v>23</v>
      </c>
      <c r="J172" s="5" t="s">
        <v>38</v>
      </c>
      <c r="K172">
        <v>0.96079999999999999</v>
      </c>
      <c r="L172">
        <v>36</v>
      </c>
      <c r="M172" t="s">
        <v>17</v>
      </c>
      <c r="N172" t="s">
        <v>17</v>
      </c>
      <c r="O172" s="3">
        <v>37208</v>
      </c>
      <c r="P172" s="3">
        <v>44910</v>
      </c>
      <c r="Q172" s="1">
        <v>0.36862174844333762</v>
      </c>
      <c r="R172" s="7">
        <v>21.101369863013698</v>
      </c>
      <c r="S172">
        <v>55</v>
      </c>
      <c r="T172" s="2">
        <v>75.274196164383568</v>
      </c>
      <c r="U172" t="s">
        <v>19</v>
      </c>
    </row>
    <row r="173" spans="1:21" hidden="1" x14ac:dyDescent="0.25">
      <c r="A173" t="s">
        <v>61</v>
      </c>
      <c r="B173">
        <v>35.162153000000004</v>
      </c>
      <c r="C173">
        <v>-98.456835999999996</v>
      </c>
      <c r="D173" t="s">
        <v>249</v>
      </c>
      <c r="E173" t="s">
        <v>240</v>
      </c>
      <c r="F173" t="s">
        <v>11</v>
      </c>
      <c r="G173" t="s">
        <v>225</v>
      </c>
      <c r="H173">
        <v>3</v>
      </c>
      <c r="I173" t="s">
        <v>23</v>
      </c>
      <c r="J173" t="s">
        <v>22</v>
      </c>
      <c r="K173" s="2">
        <v>5.7610000000000001</v>
      </c>
      <c r="L173">
        <v>46</v>
      </c>
      <c r="M173" t="s">
        <v>16</v>
      </c>
      <c r="N173" t="s">
        <v>17</v>
      </c>
      <c r="O173" s="3">
        <v>35906</v>
      </c>
      <c r="P173" s="3">
        <v>44872</v>
      </c>
      <c r="Q173" s="1">
        <v>0.32910561325262822</v>
      </c>
      <c r="R173" s="7">
        <v>24.564383561643837</v>
      </c>
      <c r="S173">
        <v>430</v>
      </c>
      <c r="T173" s="2">
        <v>571.51541369863014</v>
      </c>
      <c r="U173" t="s">
        <v>21</v>
      </c>
    </row>
    <row r="174" spans="1:21" hidden="1" x14ac:dyDescent="0.25">
      <c r="A174" t="s">
        <v>61</v>
      </c>
      <c r="B174">
        <v>35.162153000000004</v>
      </c>
      <c r="C174">
        <v>-98.456835999999996</v>
      </c>
      <c r="D174" t="s">
        <v>249</v>
      </c>
      <c r="E174" t="s">
        <v>240</v>
      </c>
      <c r="F174" t="s">
        <v>11</v>
      </c>
      <c r="G174" t="s">
        <v>223</v>
      </c>
      <c r="H174">
        <v>3</v>
      </c>
      <c r="I174" t="s">
        <v>23</v>
      </c>
      <c r="J174" s="4" t="s">
        <v>22</v>
      </c>
      <c r="K174">
        <v>1.7060000000000001E-3</v>
      </c>
      <c r="L174">
        <v>48</v>
      </c>
      <c r="M174" t="s">
        <v>17</v>
      </c>
      <c r="N174" t="s">
        <v>17</v>
      </c>
      <c r="O174" s="3">
        <v>35906</v>
      </c>
      <c r="P174" s="3">
        <v>44872</v>
      </c>
      <c r="Q174" s="1">
        <v>0.64472059009483651</v>
      </c>
      <c r="R174" s="7">
        <v>24.564383561643837</v>
      </c>
      <c r="S174">
        <v>6.5000000000000002E-2</v>
      </c>
      <c r="T174" s="2">
        <v>0.10690683835616438</v>
      </c>
      <c r="U174" t="s">
        <v>24</v>
      </c>
    </row>
    <row r="175" spans="1:21" hidden="1" x14ac:dyDescent="0.25">
      <c r="A175" t="s">
        <v>61</v>
      </c>
      <c r="B175">
        <v>35.162153000000004</v>
      </c>
      <c r="C175">
        <v>-98.456835999999996</v>
      </c>
      <c r="D175" t="s">
        <v>249</v>
      </c>
      <c r="E175" t="s">
        <v>240</v>
      </c>
      <c r="F175" t="s">
        <v>11</v>
      </c>
      <c r="G175" t="s">
        <v>226</v>
      </c>
      <c r="H175">
        <v>-3</v>
      </c>
      <c r="I175" t="s">
        <v>29</v>
      </c>
      <c r="J175" s="4" t="s">
        <v>32</v>
      </c>
      <c r="K175">
        <v>-0.2883</v>
      </c>
      <c r="L175">
        <v>38</v>
      </c>
      <c r="M175" t="s">
        <v>17</v>
      </c>
      <c r="N175" t="s">
        <v>17</v>
      </c>
      <c r="O175" s="3">
        <v>37208</v>
      </c>
      <c r="P175" s="3">
        <v>44872</v>
      </c>
      <c r="Q175" s="1">
        <v>-0.40356734246575338</v>
      </c>
      <c r="R175" s="7">
        <v>20.997260273972604</v>
      </c>
      <c r="S175">
        <v>15</v>
      </c>
      <c r="T175" s="2">
        <v>8.9464898630136993</v>
      </c>
      <c r="U175" t="s">
        <v>27</v>
      </c>
    </row>
    <row r="176" spans="1:21" hidden="1" x14ac:dyDescent="0.25">
      <c r="A176" t="s">
        <v>62</v>
      </c>
      <c r="B176">
        <v>35.871667000000002</v>
      </c>
      <c r="C176">
        <v>-95.233056000000005</v>
      </c>
      <c r="D176" t="s">
        <v>258</v>
      </c>
      <c r="E176" t="s">
        <v>240</v>
      </c>
      <c r="F176" t="s">
        <v>11</v>
      </c>
      <c r="G176" t="s">
        <v>221</v>
      </c>
      <c r="H176">
        <v>1</v>
      </c>
      <c r="I176" t="s">
        <v>23</v>
      </c>
      <c r="J176" s="5" t="s">
        <v>40</v>
      </c>
      <c r="K176">
        <v>0.49759999999999999</v>
      </c>
      <c r="L176">
        <v>22</v>
      </c>
      <c r="M176" t="s">
        <v>16</v>
      </c>
      <c r="N176" t="s">
        <v>17</v>
      </c>
      <c r="O176" s="3">
        <v>37944</v>
      </c>
      <c r="P176" s="3">
        <v>44089</v>
      </c>
      <c r="Q176" s="1">
        <v>0.49278839645447237</v>
      </c>
      <c r="R176" s="7">
        <v>16.835616438356166</v>
      </c>
      <c r="S176">
        <v>17</v>
      </c>
      <c r="T176" s="2">
        <v>25.37740273972603</v>
      </c>
      <c r="U176" t="s">
        <v>13</v>
      </c>
    </row>
    <row r="177" spans="1:21" hidden="1" x14ac:dyDescent="0.25">
      <c r="A177" t="s">
        <v>62</v>
      </c>
      <c r="B177">
        <v>35.871667000000002</v>
      </c>
      <c r="C177">
        <v>-95.233056000000005</v>
      </c>
      <c r="D177" t="s">
        <v>258</v>
      </c>
      <c r="E177" t="s">
        <v>240</v>
      </c>
      <c r="F177" t="s">
        <v>11</v>
      </c>
      <c r="G177" t="s">
        <v>222</v>
      </c>
      <c r="H177">
        <v>0</v>
      </c>
      <c r="I177" t="s">
        <v>15</v>
      </c>
      <c r="J177" t="s">
        <v>14</v>
      </c>
      <c r="K177" t="s">
        <v>15</v>
      </c>
      <c r="L177">
        <v>34</v>
      </c>
      <c r="M177" t="s">
        <v>16</v>
      </c>
      <c r="N177" t="s">
        <v>17</v>
      </c>
      <c r="O177" s="3">
        <v>35969</v>
      </c>
      <c r="P177" s="3">
        <v>44089</v>
      </c>
      <c r="Q177" s="1" t="s">
        <v>14</v>
      </c>
      <c r="R177" s="7">
        <v>22.246575342465754</v>
      </c>
      <c r="S177" t="s">
        <v>14</v>
      </c>
      <c r="T177" t="s">
        <v>14</v>
      </c>
      <c r="U177" t="s">
        <v>24</v>
      </c>
    </row>
    <row r="178" spans="1:21" hidden="1" x14ac:dyDescent="0.25">
      <c r="A178" t="s">
        <v>62</v>
      </c>
      <c r="B178">
        <v>35.871667000000002</v>
      </c>
      <c r="C178">
        <v>-95.233056000000005</v>
      </c>
      <c r="D178" t="s">
        <v>258</v>
      </c>
      <c r="E178" t="s">
        <v>240</v>
      </c>
      <c r="F178" t="s">
        <v>11</v>
      </c>
      <c r="G178" t="s">
        <v>224</v>
      </c>
      <c r="H178">
        <v>0</v>
      </c>
      <c r="I178" t="s">
        <v>15</v>
      </c>
      <c r="J178" t="s">
        <v>14</v>
      </c>
      <c r="K178" t="s">
        <v>15</v>
      </c>
      <c r="L178">
        <v>27</v>
      </c>
      <c r="M178" t="s">
        <v>17</v>
      </c>
      <c r="N178" t="s">
        <v>17</v>
      </c>
      <c r="O178" s="3">
        <v>36829</v>
      </c>
      <c r="P178" s="3">
        <v>44089</v>
      </c>
      <c r="Q178" s="1" t="s">
        <v>14</v>
      </c>
      <c r="R178" s="7">
        <v>19.890410958904109</v>
      </c>
      <c r="S178" t="s">
        <v>14</v>
      </c>
      <c r="T178" t="s">
        <v>14</v>
      </c>
      <c r="U178" t="s">
        <v>19</v>
      </c>
    </row>
    <row r="179" spans="1:21" hidden="1" x14ac:dyDescent="0.25">
      <c r="A179" t="s">
        <v>62</v>
      </c>
      <c r="B179">
        <v>35.871667000000002</v>
      </c>
      <c r="C179">
        <v>-95.233056000000005</v>
      </c>
      <c r="D179" t="s">
        <v>258</v>
      </c>
      <c r="E179" t="s">
        <v>240</v>
      </c>
      <c r="F179" t="s">
        <v>11</v>
      </c>
      <c r="G179" t="s">
        <v>225</v>
      </c>
      <c r="H179">
        <v>0</v>
      </c>
      <c r="I179" t="s">
        <v>15</v>
      </c>
      <c r="J179" t="s">
        <v>14</v>
      </c>
      <c r="K179" s="2" t="s">
        <v>15</v>
      </c>
      <c r="L179">
        <v>35</v>
      </c>
      <c r="M179" t="s">
        <v>16</v>
      </c>
      <c r="N179" t="s">
        <v>17</v>
      </c>
      <c r="O179" s="3">
        <v>35970</v>
      </c>
      <c r="P179" s="3">
        <v>45237</v>
      </c>
      <c r="Q179" s="1" t="s">
        <v>14</v>
      </c>
      <c r="R179" s="7">
        <v>25.389041095890413</v>
      </c>
      <c r="S179" t="s">
        <v>14</v>
      </c>
      <c r="T179" t="s">
        <v>14</v>
      </c>
      <c r="U179" t="s">
        <v>21</v>
      </c>
    </row>
    <row r="180" spans="1:21" hidden="1" x14ac:dyDescent="0.25">
      <c r="A180" t="s">
        <v>62</v>
      </c>
      <c r="B180">
        <v>35.871667000000002</v>
      </c>
      <c r="C180">
        <v>-95.233056000000005</v>
      </c>
      <c r="D180" t="s">
        <v>258</v>
      </c>
      <c r="E180" t="s">
        <v>240</v>
      </c>
      <c r="F180" t="s">
        <v>11</v>
      </c>
      <c r="G180" t="s">
        <v>223</v>
      </c>
      <c r="H180">
        <v>1</v>
      </c>
      <c r="I180" t="s">
        <v>23</v>
      </c>
      <c r="J180" s="4" t="s">
        <v>40</v>
      </c>
      <c r="K180">
        <v>1.1180000000000001E-3</v>
      </c>
      <c r="L180">
        <v>28</v>
      </c>
      <c r="M180" t="s">
        <v>17</v>
      </c>
      <c r="N180" t="s">
        <v>17</v>
      </c>
      <c r="O180" s="3">
        <v>35969</v>
      </c>
      <c r="P180" s="3">
        <v>44089</v>
      </c>
      <c r="Q180" s="1">
        <v>0.27635190258751907</v>
      </c>
      <c r="R180" s="7">
        <v>22.246575342465754</v>
      </c>
      <c r="S180">
        <v>0.09</v>
      </c>
      <c r="T180" s="2">
        <v>0.11487167123287671</v>
      </c>
      <c r="U180" t="s">
        <v>24</v>
      </c>
    </row>
    <row r="181" spans="1:21" hidden="1" x14ac:dyDescent="0.25">
      <c r="A181" t="s">
        <v>62</v>
      </c>
      <c r="B181">
        <v>35.871667000000002</v>
      </c>
      <c r="C181">
        <v>-95.233056000000005</v>
      </c>
      <c r="D181" t="s">
        <v>258</v>
      </c>
      <c r="E181" t="s">
        <v>240</v>
      </c>
      <c r="F181" t="s">
        <v>11</v>
      </c>
      <c r="G181" t="s">
        <v>226</v>
      </c>
      <c r="H181">
        <v>0</v>
      </c>
      <c r="I181" t="s">
        <v>15</v>
      </c>
      <c r="J181" t="s">
        <v>14</v>
      </c>
      <c r="K181" t="s">
        <v>15</v>
      </c>
      <c r="L181">
        <v>28</v>
      </c>
      <c r="M181" t="s">
        <v>17</v>
      </c>
      <c r="N181" t="s">
        <v>17</v>
      </c>
      <c r="O181" s="3">
        <v>36829</v>
      </c>
      <c r="P181" s="3">
        <v>44089</v>
      </c>
      <c r="Q181" s="1" t="s">
        <v>14</v>
      </c>
      <c r="R181" s="7">
        <v>19.890410958904109</v>
      </c>
      <c r="S181" t="s">
        <v>14</v>
      </c>
      <c r="T181" t="s">
        <v>14</v>
      </c>
      <c r="U181" t="s">
        <v>27</v>
      </c>
    </row>
    <row r="182" spans="1:21" hidden="1" x14ac:dyDescent="0.25">
      <c r="A182" s="5" t="s">
        <v>213</v>
      </c>
      <c r="B182">
        <v>36.548516999999997</v>
      </c>
      <c r="C182">
        <v>-99.565135999999995</v>
      </c>
      <c r="D182" t="s">
        <v>259</v>
      </c>
      <c r="E182" t="s">
        <v>240</v>
      </c>
      <c r="F182" t="s">
        <v>11</v>
      </c>
      <c r="G182" t="s">
        <v>221</v>
      </c>
      <c r="H182">
        <v>2</v>
      </c>
      <c r="I182" t="s">
        <v>23</v>
      </c>
      <c r="J182" s="5" t="s">
        <v>38</v>
      </c>
      <c r="K182" s="6">
        <v>0.52200000000000002</v>
      </c>
      <c r="L182" s="6">
        <v>38</v>
      </c>
      <c r="M182" s="5" t="s">
        <v>16</v>
      </c>
      <c r="N182" s="5" t="s">
        <v>17</v>
      </c>
      <c r="O182" s="3">
        <v>36087</v>
      </c>
      <c r="P182" s="3">
        <v>44487</v>
      </c>
      <c r="Q182" s="1">
        <v>1.0010958904109588</v>
      </c>
      <c r="R182" s="7">
        <v>23.013698630136986</v>
      </c>
      <c r="S182">
        <v>12</v>
      </c>
      <c r="T182" s="2">
        <v>24.013150684931507</v>
      </c>
      <c r="U182" t="s">
        <v>13</v>
      </c>
    </row>
    <row r="183" spans="1:21" hidden="1" x14ac:dyDescent="0.25">
      <c r="A183" s="5" t="s">
        <v>213</v>
      </c>
      <c r="B183">
        <v>36.548516999999997</v>
      </c>
      <c r="C183">
        <v>-99.565135999999995</v>
      </c>
      <c r="D183" t="s">
        <v>259</v>
      </c>
      <c r="E183" t="s">
        <v>240</v>
      </c>
      <c r="F183" t="s">
        <v>11</v>
      </c>
      <c r="G183" t="s">
        <v>222</v>
      </c>
      <c r="H183">
        <v>2</v>
      </c>
      <c r="I183" t="s">
        <v>23</v>
      </c>
      <c r="J183" s="4" t="s">
        <v>38</v>
      </c>
      <c r="K183" s="6">
        <v>1.592E-2</v>
      </c>
      <c r="L183" s="6">
        <v>39</v>
      </c>
      <c r="M183" s="5" t="s">
        <v>16</v>
      </c>
      <c r="N183" s="5" t="s">
        <v>17</v>
      </c>
      <c r="O183" s="3">
        <v>35912</v>
      </c>
      <c r="P183" s="3">
        <v>44446</v>
      </c>
      <c r="Q183" s="1">
        <v>0.43790904109589035</v>
      </c>
      <c r="R183" s="7">
        <v>23.38082191780822</v>
      </c>
      <c r="S183">
        <v>0.85</v>
      </c>
      <c r="T183" s="2">
        <v>1.2222226849315068</v>
      </c>
      <c r="U183" t="s">
        <v>24</v>
      </c>
    </row>
    <row r="184" spans="1:21" hidden="1" x14ac:dyDescent="0.25">
      <c r="A184" s="5" t="s">
        <v>213</v>
      </c>
      <c r="B184">
        <v>36.548516999999997</v>
      </c>
      <c r="C184">
        <v>-99.565135999999995</v>
      </c>
      <c r="D184" t="s">
        <v>259</v>
      </c>
      <c r="E184" t="s">
        <v>240</v>
      </c>
      <c r="F184" t="s">
        <v>11</v>
      </c>
      <c r="G184" t="s">
        <v>224</v>
      </c>
      <c r="H184">
        <v>0</v>
      </c>
      <c r="I184" t="s">
        <v>15</v>
      </c>
      <c r="J184" s="5" t="s">
        <v>14</v>
      </c>
      <c r="K184" t="s">
        <v>15</v>
      </c>
      <c r="L184" s="6">
        <v>36</v>
      </c>
      <c r="M184" s="5" t="s">
        <v>17</v>
      </c>
      <c r="N184" s="5" t="s">
        <v>17</v>
      </c>
      <c r="O184" s="3">
        <v>36087</v>
      </c>
      <c r="P184" s="3">
        <v>44446</v>
      </c>
      <c r="Q184" s="1" t="s">
        <v>14</v>
      </c>
      <c r="R184" s="7">
        <v>22.901369863013699</v>
      </c>
      <c r="S184" t="s">
        <v>14</v>
      </c>
      <c r="T184" t="s">
        <v>14</v>
      </c>
      <c r="U184" t="s">
        <v>19</v>
      </c>
    </row>
    <row r="185" spans="1:21" hidden="1" x14ac:dyDescent="0.25">
      <c r="A185" s="5" t="s">
        <v>213</v>
      </c>
      <c r="B185">
        <v>36.548516999999997</v>
      </c>
      <c r="C185">
        <v>-99.565135999999995</v>
      </c>
      <c r="D185" t="s">
        <v>259</v>
      </c>
      <c r="E185" t="s">
        <v>240</v>
      </c>
      <c r="F185" t="s">
        <v>11</v>
      </c>
      <c r="G185" t="s">
        <v>225</v>
      </c>
      <c r="H185">
        <v>3</v>
      </c>
      <c r="I185" t="s">
        <v>23</v>
      </c>
      <c r="J185" t="s">
        <v>22</v>
      </c>
      <c r="K185" s="2">
        <v>27.89</v>
      </c>
      <c r="L185">
        <v>39</v>
      </c>
      <c r="M185" t="s">
        <v>17</v>
      </c>
      <c r="N185" t="s">
        <v>16</v>
      </c>
      <c r="O185" s="3">
        <v>35912</v>
      </c>
      <c r="P185" s="3">
        <v>44488</v>
      </c>
      <c r="Q185" s="1">
        <v>0.79430349522623478</v>
      </c>
      <c r="R185" s="7">
        <v>23.495890410958904</v>
      </c>
      <c r="S185">
        <v>825</v>
      </c>
      <c r="T185" s="2">
        <v>1480.3003835616437</v>
      </c>
      <c r="U185" t="s">
        <v>21</v>
      </c>
    </row>
    <row r="186" spans="1:21" hidden="1" x14ac:dyDescent="0.25">
      <c r="A186" s="5" t="s">
        <v>213</v>
      </c>
      <c r="B186">
        <v>36.548516999999997</v>
      </c>
      <c r="C186">
        <v>-99.565135999999995</v>
      </c>
      <c r="D186" t="s">
        <v>259</v>
      </c>
      <c r="E186" t="s">
        <v>240</v>
      </c>
      <c r="F186" t="s">
        <v>11</v>
      </c>
      <c r="G186" t="s">
        <v>223</v>
      </c>
      <c r="H186">
        <v>0</v>
      </c>
      <c r="I186" t="s">
        <v>15</v>
      </c>
      <c r="J186" s="4" t="s">
        <v>14</v>
      </c>
      <c r="K186" t="s">
        <v>15</v>
      </c>
      <c r="L186" s="6">
        <v>39</v>
      </c>
      <c r="M186" s="5" t="s">
        <v>31</v>
      </c>
      <c r="N186" s="5" t="s">
        <v>17</v>
      </c>
      <c r="O186" s="3">
        <v>35912</v>
      </c>
      <c r="P186" s="3">
        <v>44446</v>
      </c>
      <c r="Q186" s="1" t="s">
        <v>14</v>
      </c>
      <c r="R186" s="7">
        <v>23.38082191780822</v>
      </c>
      <c r="S186" t="s">
        <v>14</v>
      </c>
      <c r="T186" t="s">
        <v>14</v>
      </c>
      <c r="U186" t="s">
        <v>24</v>
      </c>
    </row>
    <row r="187" spans="1:21" hidden="1" x14ac:dyDescent="0.25">
      <c r="A187" s="5" t="s">
        <v>213</v>
      </c>
      <c r="B187">
        <v>36.548516999999997</v>
      </c>
      <c r="C187">
        <v>-99.565135999999995</v>
      </c>
      <c r="D187" t="s">
        <v>259</v>
      </c>
      <c r="E187" t="s">
        <v>240</v>
      </c>
      <c r="F187" t="s">
        <v>11</v>
      </c>
      <c r="G187" t="s">
        <v>226</v>
      </c>
      <c r="H187">
        <v>-1</v>
      </c>
      <c r="I187" t="s">
        <v>29</v>
      </c>
      <c r="J187" s="4" t="s">
        <v>28</v>
      </c>
      <c r="K187">
        <v>-0.93279999999999996</v>
      </c>
      <c r="L187" s="6">
        <v>37</v>
      </c>
      <c r="M187" s="5" t="s">
        <v>17</v>
      </c>
      <c r="N187" s="5" t="s">
        <v>17</v>
      </c>
      <c r="O187" s="3">
        <v>36087</v>
      </c>
      <c r="P187" s="3">
        <v>44446</v>
      </c>
      <c r="Q187" s="1">
        <v>-0.28483197077625572</v>
      </c>
      <c r="R187" s="7">
        <v>22.901369863013699</v>
      </c>
      <c r="S187">
        <v>75</v>
      </c>
      <c r="T187" s="2">
        <v>53.637602191780822</v>
      </c>
      <c r="U187" t="s">
        <v>27</v>
      </c>
    </row>
    <row r="188" spans="1:21" hidden="1" x14ac:dyDescent="0.25">
      <c r="A188" t="s">
        <v>63</v>
      </c>
      <c r="B188">
        <v>35.539363999999999</v>
      </c>
      <c r="C188">
        <v>-99.189006000000006</v>
      </c>
      <c r="D188" t="s">
        <v>260</v>
      </c>
      <c r="E188" t="s">
        <v>240</v>
      </c>
      <c r="F188" t="s">
        <v>11</v>
      </c>
      <c r="G188" t="s">
        <v>221</v>
      </c>
      <c r="H188">
        <v>-3</v>
      </c>
      <c r="I188" t="s">
        <v>29</v>
      </c>
      <c r="J188" s="4" t="s">
        <v>32</v>
      </c>
      <c r="K188">
        <v>-0.32579999999999998</v>
      </c>
      <c r="L188">
        <v>36</v>
      </c>
      <c r="M188" t="s">
        <v>16</v>
      </c>
      <c r="N188" t="s">
        <v>17</v>
      </c>
      <c r="O188" s="3">
        <v>37733</v>
      </c>
      <c r="P188" s="3">
        <v>44907</v>
      </c>
      <c r="Q188" s="1">
        <v>-0.64035320547945207</v>
      </c>
      <c r="R188" s="7">
        <v>19.654794520547945</v>
      </c>
      <c r="S188">
        <v>10</v>
      </c>
      <c r="T188" s="2">
        <v>3.5964679452054797</v>
      </c>
      <c r="U188" t="s">
        <v>13</v>
      </c>
    </row>
    <row r="189" spans="1:21" hidden="1" x14ac:dyDescent="0.25">
      <c r="A189" t="s">
        <v>63</v>
      </c>
      <c r="B189">
        <v>35.539363999999999</v>
      </c>
      <c r="C189">
        <v>-99.189006000000006</v>
      </c>
      <c r="D189" t="s">
        <v>260</v>
      </c>
      <c r="E189" t="s">
        <v>240</v>
      </c>
      <c r="F189" t="s">
        <v>11</v>
      </c>
      <c r="G189" t="s">
        <v>222</v>
      </c>
      <c r="H189">
        <v>3</v>
      </c>
      <c r="I189" t="s">
        <v>23</v>
      </c>
      <c r="J189" s="4" t="s">
        <v>22</v>
      </c>
      <c r="K189">
        <v>4.8770000000000003E-3</v>
      </c>
      <c r="L189">
        <v>47</v>
      </c>
      <c r="M189" t="s">
        <v>17</v>
      </c>
      <c r="N189" t="s">
        <v>17</v>
      </c>
      <c r="O189" s="3">
        <v>36458</v>
      </c>
      <c r="P189" s="3">
        <v>44872</v>
      </c>
      <c r="Q189" s="1">
        <v>0.20440885678704854</v>
      </c>
      <c r="R189" s="7">
        <v>23.052054794520547</v>
      </c>
      <c r="S189">
        <v>0.55000000000000004</v>
      </c>
      <c r="T189" s="2">
        <v>0.66242487123287674</v>
      </c>
      <c r="U189" t="s">
        <v>24</v>
      </c>
    </row>
    <row r="190" spans="1:21" hidden="1" x14ac:dyDescent="0.25">
      <c r="A190" t="s">
        <v>63</v>
      </c>
      <c r="B190">
        <v>35.539363999999999</v>
      </c>
      <c r="C190">
        <v>-99.189006000000006</v>
      </c>
      <c r="D190" t="s">
        <v>260</v>
      </c>
      <c r="E190" t="s">
        <v>240</v>
      </c>
      <c r="F190" t="s">
        <v>11</v>
      </c>
      <c r="G190" t="s">
        <v>224</v>
      </c>
      <c r="H190">
        <v>3</v>
      </c>
      <c r="I190" t="s">
        <v>23</v>
      </c>
      <c r="J190" s="4" t="s">
        <v>22</v>
      </c>
      <c r="K190">
        <v>4.4669999999999996</v>
      </c>
      <c r="L190">
        <v>27</v>
      </c>
      <c r="M190" t="s">
        <v>17</v>
      </c>
      <c r="N190" t="s">
        <v>17</v>
      </c>
      <c r="O190" s="3">
        <v>38243</v>
      </c>
      <c r="P190" s="3">
        <v>44872</v>
      </c>
      <c r="Q190" s="1">
        <v>1.3521343835616439</v>
      </c>
      <c r="R190" s="7">
        <v>18.161643835616438</v>
      </c>
      <c r="S190">
        <v>60</v>
      </c>
      <c r="T190" s="2">
        <v>141.12806301369864</v>
      </c>
      <c r="U190" t="s">
        <v>19</v>
      </c>
    </row>
    <row r="191" spans="1:21" hidden="1" x14ac:dyDescent="0.25">
      <c r="A191" t="s">
        <v>63</v>
      </c>
      <c r="B191">
        <v>35.539363999999999</v>
      </c>
      <c r="C191">
        <v>-99.189006000000006</v>
      </c>
      <c r="D191" t="s">
        <v>260</v>
      </c>
      <c r="E191" t="s">
        <v>240</v>
      </c>
      <c r="F191" t="s">
        <v>11</v>
      </c>
      <c r="G191" t="s">
        <v>225</v>
      </c>
      <c r="H191">
        <v>3</v>
      </c>
      <c r="I191" t="s">
        <v>23</v>
      </c>
      <c r="J191" t="s">
        <v>22</v>
      </c>
      <c r="K191" s="2">
        <v>16.14</v>
      </c>
      <c r="L191">
        <v>35</v>
      </c>
      <c r="M191" t="s">
        <v>16</v>
      </c>
      <c r="N191" t="s">
        <v>31</v>
      </c>
      <c r="O191" s="3">
        <v>36458</v>
      </c>
      <c r="P191" s="3">
        <v>44872</v>
      </c>
      <c r="Q191" s="1">
        <v>0.1730512392481682</v>
      </c>
      <c r="R191" s="7">
        <v>23.052054794520547</v>
      </c>
      <c r="S191">
        <v>2150</v>
      </c>
      <c r="T191" s="2">
        <v>2522.0601643835616</v>
      </c>
      <c r="U191" t="s">
        <v>21</v>
      </c>
    </row>
    <row r="192" spans="1:21" hidden="1" x14ac:dyDescent="0.25">
      <c r="A192" t="s">
        <v>63</v>
      </c>
      <c r="B192">
        <v>35.539363999999999</v>
      </c>
      <c r="C192">
        <v>-99.189006000000006</v>
      </c>
      <c r="D192" t="s">
        <v>260</v>
      </c>
      <c r="E192" t="s">
        <v>240</v>
      </c>
      <c r="F192" t="s">
        <v>11</v>
      </c>
      <c r="G192" t="s">
        <v>223</v>
      </c>
      <c r="H192">
        <v>-3</v>
      </c>
      <c r="I192" t="s">
        <v>29</v>
      </c>
      <c r="J192" s="4" t="s">
        <v>32</v>
      </c>
      <c r="K192">
        <v>-4.082E-4</v>
      </c>
      <c r="L192">
        <v>47</v>
      </c>
      <c r="M192" t="s">
        <v>17</v>
      </c>
      <c r="N192" t="s">
        <v>17</v>
      </c>
      <c r="O192" s="3">
        <v>36458</v>
      </c>
      <c r="P192" s="3">
        <v>44872</v>
      </c>
      <c r="Q192" s="1">
        <v>-0.37639395068493148</v>
      </c>
      <c r="R192" s="7">
        <v>23.052054794520547</v>
      </c>
      <c r="S192">
        <v>2.5000000000000001E-2</v>
      </c>
      <c r="T192" s="2">
        <v>1.5590151232876714E-2</v>
      </c>
      <c r="U192" t="s">
        <v>24</v>
      </c>
    </row>
    <row r="193" spans="1:21" hidden="1" x14ac:dyDescent="0.25">
      <c r="A193" t="s">
        <v>63</v>
      </c>
      <c r="B193">
        <v>35.539363999999999</v>
      </c>
      <c r="C193">
        <v>-99.189006000000006</v>
      </c>
      <c r="D193" t="s">
        <v>260</v>
      </c>
      <c r="E193" t="s">
        <v>240</v>
      </c>
      <c r="F193" t="s">
        <v>11</v>
      </c>
      <c r="G193" t="s">
        <v>226</v>
      </c>
      <c r="H193">
        <v>-3</v>
      </c>
      <c r="I193" t="s">
        <v>29</v>
      </c>
      <c r="J193" s="4" t="s">
        <v>32</v>
      </c>
      <c r="K193">
        <v>-0.4617</v>
      </c>
      <c r="L193">
        <v>31</v>
      </c>
      <c r="M193" t="s">
        <v>17</v>
      </c>
      <c r="N193" t="s">
        <v>17</v>
      </c>
      <c r="O193" s="3">
        <v>38243</v>
      </c>
      <c r="P193" s="3">
        <v>44872</v>
      </c>
      <c r="Q193" s="1">
        <v>-0.7622937235367373</v>
      </c>
      <c r="R193" s="7">
        <v>18.161643835616438</v>
      </c>
      <c r="S193">
        <v>11</v>
      </c>
      <c r="T193" s="2">
        <v>2.6147690410958901</v>
      </c>
      <c r="U193" t="s">
        <v>27</v>
      </c>
    </row>
    <row r="194" spans="1:21" hidden="1" x14ac:dyDescent="0.25">
      <c r="A194" t="s">
        <v>64</v>
      </c>
      <c r="B194">
        <v>34.513272000000001</v>
      </c>
      <c r="C194">
        <v>-98.887600000000006</v>
      </c>
      <c r="D194" t="s">
        <v>261</v>
      </c>
      <c r="E194" t="s">
        <v>240</v>
      </c>
      <c r="F194" t="s">
        <v>11</v>
      </c>
      <c r="G194" t="s">
        <v>221</v>
      </c>
      <c r="H194">
        <v>0</v>
      </c>
      <c r="I194" t="s">
        <v>15</v>
      </c>
      <c r="J194" t="s">
        <v>14</v>
      </c>
      <c r="K194" t="s">
        <v>15</v>
      </c>
      <c r="L194">
        <v>33</v>
      </c>
      <c r="M194" t="s">
        <v>16</v>
      </c>
      <c r="N194" t="s">
        <v>16</v>
      </c>
      <c r="O194" s="3">
        <v>37557</v>
      </c>
      <c r="P194" s="3">
        <v>43852</v>
      </c>
      <c r="Q194" s="1" t="s">
        <v>14</v>
      </c>
      <c r="R194" s="7">
        <v>17.246575342465754</v>
      </c>
      <c r="S194" t="s">
        <v>14</v>
      </c>
      <c r="T194" t="s">
        <v>14</v>
      </c>
      <c r="U194" t="s">
        <v>13</v>
      </c>
    </row>
    <row r="195" spans="1:21" hidden="1" x14ac:dyDescent="0.25">
      <c r="A195" t="s">
        <v>64</v>
      </c>
      <c r="B195">
        <v>34.513272000000001</v>
      </c>
      <c r="C195">
        <v>-98.887600000000006</v>
      </c>
      <c r="D195" t="s">
        <v>261</v>
      </c>
      <c r="E195" t="s">
        <v>240</v>
      </c>
      <c r="F195" t="s">
        <v>11</v>
      </c>
      <c r="G195" t="s">
        <v>222</v>
      </c>
      <c r="H195">
        <v>3</v>
      </c>
      <c r="I195" t="s">
        <v>23</v>
      </c>
      <c r="J195" s="4" t="s">
        <v>22</v>
      </c>
      <c r="K195">
        <v>1.3769999999999999E-2</v>
      </c>
      <c r="L195">
        <v>28</v>
      </c>
      <c r="M195" t="s">
        <v>16</v>
      </c>
      <c r="N195" t="s">
        <v>17</v>
      </c>
      <c r="O195" s="3">
        <v>36815</v>
      </c>
      <c r="P195" s="3">
        <v>43852</v>
      </c>
      <c r="Q195" s="1">
        <v>0.40842777660695456</v>
      </c>
      <c r="R195" s="7">
        <v>19.279452054794522</v>
      </c>
      <c r="S195">
        <v>0.65</v>
      </c>
      <c r="T195" s="2">
        <v>0.91547805479452049</v>
      </c>
      <c r="U195" t="s">
        <v>24</v>
      </c>
    </row>
    <row r="196" spans="1:21" hidden="1" x14ac:dyDescent="0.25">
      <c r="A196" t="s">
        <v>64</v>
      </c>
      <c r="B196">
        <v>34.513272000000001</v>
      </c>
      <c r="C196">
        <v>-98.887600000000006</v>
      </c>
      <c r="D196" t="s">
        <v>261</v>
      </c>
      <c r="E196" t="s">
        <v>240</v>
      </c>
      <c r="F196" t="s">
        <v>11</v>
      </c>
      <c r="G196" t="s">
        <v>224</v>
      </c>
      <c r="H196">
        <v>1</v>
      </c>
      <c r="I196" t="s">
        <v>23</v>
      </c>
      <c r="J196" s="5" t="s">
        <v>40</v>
      </c>
      <c r="K196">
        <v>0.82989999999999997</v>
      </c>
      <c r="L196">
        <v>22</v>
      </c>
      <c r="M196" t="s">
        <v>16</v>
      </c>
      <c r="N196" t="s">
        <v>17</v>
      </c>
      <c r="O196" s="3">
        <v>36815</v>
      </c>
      <c r="P196" s="3">
        <v>43887</v>
      </c>
      <c r="Q196" s="1">
        <v>2.3646465753424657</v>
      </c>
      <c r="R196" s="7">
        <v>19.375342465753423</v>
      </c>
      <c r="S196">
        <v>6.8</v>
      </c>
      <c r="T196" s="2">
        <v>22.879596712328766</v>
      </c>
      <c r="U196" t="s">
        <v>19</v>
      </c>
    </row>
    <row r="197" spans="1:21" hidden="1" x14ac:dyDescent="0.25">
      <c r="A197" t="s">
        <v>64</v>
      </c>
      <c r="B197">
        <v>34.513272000000001</v>
      </c>
      <c r="C197">
        <v>-98.887600000000006</v>
      </c>
      <c r="D197" t="s">
        <v>261</v>
      </c>
      <c r="E197" t="s">
        <v>240</v>
      </c>
      <c r="F197" t="s">
        <v>11</v>
      </c>
      <c r="G197" t="s">
        <v>225</v>
      </c>
      <c r="H197">
        <v>0</v>
      </c>
      <c r="I197" t="s">
        <v>15</v>
      </c>
      <c r="J197" t="s">
        <v>14</v>
      </c>
      <c r="K197" s="2" t="s">
        <v>15</v>
      </c>
      <c r="L197">
        <v>30</v>
      </c>
      <c r="M197" t="s">
        <v>16</v>
      </c>
      <c r="N197" t="s">
        <v>17</v>
      </c>
      <c r="O197" s="3">
        <v>36815</v>
      </c>
      <c r="P197" s="3">
        <v>43922</v>
      </c>
      <c r="Q197" s="1" t="s">
        <v>14</v>
      </c>
      <c r="R197" s="7">
        <v>19.471232876712328</v>
      </c>
      <c r="S197" t="s">
        <v>14</v>
      </c>
      <c r="T197" t="s">
        <v>14</v>
      </c>
      <c r="U197" t="s">
        <v>21</v>
      </c>
    </row>
    <row r="198" spans="1:21" hidden="1" x14ac:dyDescent="0.25">
      <c r="A198" t="s">
        <v>64</v>
      </c>
      <c r="B198">
        <v>34.513272000000001</v>
      </c>
      <c r="C198">
        <v>-98.887600000000006</v>
      </c>
      <c r="D198" t="s">
        <v>261</v>
      </c>
      <c r="E198" t="s">
        <v>240</v>
      </c>
      <c r="F198" t="s">
        <v>11</v>
      </c>
      <c r="G198" t="s">
        <v>223</v>
      </c>
      <c r="H198">
        <v>0</v>
      </c>
      <c r="I198" t="s">
        <v>15</v>
      </c>
      <c r="J198" t="s">
        <v>14</v>
      </c>
      <c r="K198" t="s">
        <v>15</v>
      </c>
      <c r="L198">
        <v>35</v>
      </c>
      <c r="M198" t="s">
        <v>16</v>
      </c>
      <c r="N198" t="s">
        <v>17</v>
      </c>
      <c r="O198" s="3">
        <v>36815</v>
      </c>
      <c r="P198" s="3">
        <v>43852</v>
      </c>
      <c r="Q198" s="1" t="s">
        <v>14</v>
      </c>
      <c r="R198" s="7">
        <v>19.279452054794522</v>
      </c>
      <c r="S198" t="s">
        <v>14</v>
      </c>
      <c r="T198" t="s">
        <v>14</v>
      </c>
      <c r="U198" t="s">
        <v>24</v>
      </c>
    </row>
    <row r="199" spans="1:21" hidden="1" x14ac:dyDescent="0.25">
      <c r="A199" t="s">
        <v>64</v>
      </c>
      <c r="B199">
        <v>34.513272000000001</v>
      </c>
      <c r="C199">
        <v>-98.887600000000006</v>
      </c>
      <c r="D199" t="s">
        <v>261</v>
      </c>
      <c r="E199" t="s">
        <v>240</v>
      </c>
      <c r="F199" t="s">
        <v>11</v>
      </c>
      <c r="G199" t="s">
        <v>226</v>
      </c>
      <c r="H199">
        <v>-2</v>
      </c>
      <c r="I199" t="s">
        <v>29</v>
      </c>
      <c r="J199" s="4" t="s">
        <v>34</v>
      </c>
      <c r="K199">
        <v>-2.403</v>
      </c>
      <c r="L199">
        <v>25</v>
      </c>
      <c r="M199" t="s">
        <v>31</v>
      </c>
      <c r="N199" t="s">
        <v>31</v>
      </c>
      <c r="O199" s="3">
        <v>36815</v>
      </c>
      <c r="P199" s="3">
        <v>43887</v>
      </c>
      <c r="Q199" s="1">
        <v>-0.44341855185909979</v>
      </c>
      <c r="R199" s="7">
        <v>19.375342465753423</v>
      </c>
      <c r="S199">
        <v>105</v>
      </c>
      <c r="T199" s="2">
        <v>58.441052054794525</v>
      </c>
      <c r="U199" t="s">
        <v>27</v>
      </c>
    </row>
    <row r="200" spans="1:21" hidden="1" x14ac:dyDescent="0.25">
      <c r="A200" t="s">
        <v>65</v>
      </c>
      <c r="B200">
        <v>34.600833000000002</v>
      </c>
      <c r="C200">
        <v>-97.671110999999996</v>
      </c>
      <c r="D200" t="s">
        <v>251</v>
      </c>
      <c r="E200" t="s">
        <v>240</v>
      </c>
      <c r="F200" t="s">
        <v>11</v>
      </c>
      <c r="G200" t="s">
        <v>221</v>
      </c>
      <c r="H200">
        <v>2</v>
      </c>
      <c r="I200" t="s">
        <v>23</v>
      </c>
      <c r="J200" s="5" t="s">
        <v>38</v>
      </c>
      <c r="K200">
        <v>0.46820000000000001</v>
      </c>
      <c r="L200">
        <v>30</v>
      </c>
      <c r="M200" t="s">
        <v>33</v>
      </c>
      <c r="N200" t="s">
        <v>17</v>
      </c>
      <c r="O200" s="3">
        <v>37580</v>
      </c>
      <c r="P200" s="3">
        <v>44500</v>
      </c>
      <c r="Q200" s="1">
        <v>2.2191397260273975</v>
      </c>
      <c r="R200" s="7">
        <v>18.958904109589042</v>
      </c>
      <c r="S200">
        <v>4</v>
      </c>
      <c r="T200" s="2">
        <v>12.87655890410959</v>
      </c>
      <c r="U200" t="s">
        <v>13</v>
      </c>
    </row>
    <row r="201" spans="1:21" hidden="1" x14ac:dyDescent="0.25">
      <c r="A201" t="s">
        <v>65</v>
      </c>
      <c r="B201">
        <v>34.600833000000002</v>
      </c>
      <c r="C201">
        <v>-97.671110999999996</v>
      </c>
      <c r="D201" t="s">
        <v>251</v>
      </c>
      <c r="E201" t="s">
        <v>240</v>
      </c>
      <c r="F201" t="s">
        <v>11</v>
      </c>
      <c r="G201" t="s">
        <v>222</v>
      </c>
      <c r="H201">
        <v>3</v>
      </c>
      <c r="I201" t="s">
        <v>23</v>
      </c>
      <c r="J201" s="4" t="s">
        <v>22</v>
      </c>
      <c r="K201">
        <v>1.3690000000000001E-2</v>
      </c>
      <c r="L201">
        <v>34</v>
      </c>
      <c r="M201" t="s">
        <v>16</v>
      </c>
      <c r="N201" t="s">
        <v>17</v>
      </c>
      <c r="O201" s="3">
        <v>36836</v>
      </c>
      <c r="P201" s="3">
        <v>44466</v>
      </c>
      <c r="Q201" s="1">
        <v>0.64309496690780343</v>
      </c>
      <c r="R201" s="7">
        <v>20.904109589041095</v>
      </c>
      <c r="S201">
        <v>0.44500000000000001</v>
      </c>
      <c r="T201" s="2">
        <v>0.73117726027397256</v>
      </c>
      <c r="U201" t="s">
        <v>24</v>
      </c>
    </row>
    <row r="202" spans="1:21" hidden="1" x14ac:dyDescent="0.25">
      <c r="A202" t="s">
        <v>65</v>
      </c>
      <c r="B202">
        <v>34.600833000000002</v>
      </c>
      <c r="C202">
        <v>-97.671110999999996</v>
      </c>
      <c r="D202" t="s">
        <v>251</v>
      </c>
      <c r="E202" t="s">
        <v>240</v>
      </c>
      <c r="F202" t="s">
        <v>11</v>
      </c>
      <c r="G202" t="s">
        <v>224</v>
      </c>
      <c r="H202">
        <v>2</v>
      </c>
      <c r="I202" t="s">
        <v>23</v>
      </c>
      <c r="J202" s="5" t="s">
        <v>38</v>
      </c>
      <c r="K202">
        <v>1.1160000000000001</v>
      </c>
      <c r="L202">
        <v>26</v>
      </c>
      <c r="M202" t="s">
        <v>17</v>
      </c>
      <c r="N202" t="s">
        <v>17</v>
      </c>
      <c r="O202" s="3">
        <v>36836</v>
      </c>
      <c r="P202" s="3">
        <v>44466</v>
      </c>
      <c r="Q202" s="1">
        <v>0.46657972602739733</v>
      </c>
      <c r="R202" s="7">
        <v>20.904109589041095</v>
      </c>
      <c r="S202">
        <v>50</v>
      </c>
      <c r="T202" s="2">
        <v>73.328986301369866</v>
      </c>
      <c r="U202" t="s">
        <v>19</v>
      </c>
    </row>
    <row r="203" spans="1:21" hidden="1" x14ac:dyDescent="0.25">
      <c r="A203" t="s">
        <v>65</v>
      </c>
      <c r="B203">
        <v>34.600833000000002</v>
      </c>
      <c r="C203">
        <v>-97.671110999999996</v>
      </c>
      <c r="D203" t="s">
        <v>251</v>
      </c>
      <c r="E203" t="s">
        <v>240</v>
      </c>
      <c r="F203" t="s">
        <v>11</v>
      </c>
      <c r="G203" t="s">
        <v>225</v>
      </c>
      <c r="H203">
        <v>0</v>
      </c>
      <c r="I203" t="s">
        <v>15</v>
      </c>
      <c r="J203" t="s">
        <v>14</v>
      </c>
      <c r="K203" s="2" t="s">
        <v>15</v>
      </c>
      <c r="L203">
        <v>31</v>
      </c>
      <c r="M203" t="s">
        <v>16</v>
      </c>
      <c r="N203" t="s">
        <v>16</v>
      </c>
      <c r="O203" s="3">
        <v>36836</v>
      </c>
      <c r="P203" s="3">
        <v>44466</v>
      </c>
      <c r="Q203" s="1" t="s">
        <v>14</v>
      </c>
      <c r="R203" s="7">
        <v>20.904109589041095</v>
      </c>
      <c r="S203" t="s">
        <v>14</v>
      </c>
      <c r="T203" t="s">
        <v>14</v>
      </c>
      <c r="U203" t="s">
        <v>21</v>
      </c>
    </row>
    <row r="204" spans="1:21" hidden="1" x14ac:dyDescent="0.25">
      <c r="A204" t="s">
        <v>65</v>
      </c>
      <c r="B204">
        <v>34.600833000000002</v>
      </c>
      <c r="C204">
        <v>-97.671110999999996</v>
      </c>
      <c r="D204" t="s">
        <v>251</v>
      </c>
      <c r="E204" t="s">
        <v>240</v>
      </c>
      <c r="F204" t="s">
        <v>11</v>
      </c>
      <c r="G204" t="s">
        <v>223</v>
      </c>
      <c r="H204">
        <v>0</v>
      </c>
      <c r="I204" t="s">
        <v>15</v>
      </c>
      <c r="J204" t="s">
        <v>14</v>
      </c>
      <c r="K204" t="s">
        <v>15</v>
      </c>
      <c r="L204">
        <v>34</v>
      </c>
      <c r="M204" t="s">
        <v>16</v>
      </c>
      <c r="N204" t="s">
        <v>17</v>
      </c>
      <c r="O204" s="3">
        <v>36836</v>
      </c>
      <c r="P204" s="3">
        <v>44466</v>
      </c>
      <c r="Q204" s="1" t="s">
        <v>14</v>
      </c>
      <c r="R204" s="7">
        <v>20.904109589041095</v>
      </c>
      <c r="S204" t="s">
        <v>14</v>
      </c>
      <c r="T204" t="s">
        <v>14</v>
      </c>
      <c r="U204" t="s">
        <v>24</v>
      </c>
    </row>
    <row r="205" spans="1:21" hidden="1" x14ac:dyDescent="0.25">
      <c r="A205" t="s">
        <v>65</v>
      </c>
      <c r="B205">
        <v>34.600833000000002</v>
      </c>
      <c r="C205">
        <v>-97.671110999999996</v>
      </c>
      <c r="D205" t="s">
        <v>251</v>
      </c>
      <c r="E205" t="s">
        <v>240</v>
      </c>
      <c r="F205" t="s">
        <v>11</v>
      </c>
      <c r="G205" t="s">
        <v>226</v>
      </c>
      <c r="H205">
        <v>-2</v>
      </c>
      <c r="I205" t="s">
        <v>29</v>
      </c>
      <c r="J205" s="5" t="s">
        <v>34</v>
      </c>
      <c r="K205">
        <v>-0.42670000000000002</v>
      </c>
      <c r="L205">
        <v>31</v>
      </c>
      <c r="M205" t="s">
        <v>17</v>
      </c>
      <c r="N205" t="s">
        <v>17</v>
      </c>
      <c r="O205" s="3">
        <v>36836</v>
      </c>
      <c r="P205" s="3">
        <v>44466</v>
      </c>
      <c r="Q205" s="1">
        <v>-0.49554353120243533</v>
      </c>
      <c r="R205" s="7">
        <v>20.904109589041095</v>
      </c>
      <c r="S205">
        <v>18</v>
      </c>
      <c r="T205" s="2">
        <v>9.0802164383561639</v>
      </c>
      <c r="U205" t="s">
        <v>27</v>
      </c>
    </row>
    <row r="206" spans="1:21" hidden="1" x14ac:dyDescent="0.25">
      <c r="A206" t="s">
        <v>66</v>
      </c>
      <c r="B206">
        <v>36.474722</v>
      </c>
      <c r="C206">
        <v>-95.034722000000002</v>
      </c>
      <c r="D206" t="s">
        <v>271</v>
      </c>
      <c r="E206" t="s">
        <v>240</v>
      </c>
      <c r="F206" t="s">
        <v>11</v>
      </c>
      <c r="G206" t="s">
        <v>221</v>
      </c>
      <c r="H206">
        <v>-1</v>
      </c>
      <c r="I206" t="s">
        <v>29</v>
      </c>
      <c r="J206" t="s">
        <v>28</v>
      </c>
      <c r="K206">
        <v>-0.28370000000000001</v>
      </c>
      <c r="L206">
        <v>40</v>
      </c>
      <c r="O206" s="3">
        <v>36808</v>
      </c>
      <c r="P206" s="3">
        <v>44845</v>
      </c>
      <c r="Q206" s="1">
        <v>-0.39042755136986307</v>
      </c>
      <c r="R206" s="7">
        <v>22.019178082191782</v>
      </c>
      <c r="S206">
        <v>16</v>
      </c>
      <c r="T206" s="2">
        <v>9.7531591780821909</v>
      </c>
      <c r="U206" t="s">
        <v>13</v>
      </c>
    </row>
    <row r="207" spans="1:21" hidden="1" x14ac:dyDescent="0.25">
      <c r="A207" t="s">
        <v>66</v>
      </c>
      <c r="B207">
        <v>36.474722</v>
      </c>
      <c r="C207">
        <v>-95.034722000000002</v>
      </c>
      <c r="D207" t="s">
        <v>271</v>
      </c>
      <c r="E207" t="s">
        <v>240</v>
      </c>
      <c r="F207" t="s">
        <v>11</v>
      </c>
      <c r="G207" t="s">
        <v>222</v>
      </c>
      <c r="H207">
        <v>0</v>
      </c>
      <c r="I207" t="s">
        <v>15</v>
      </c>
      <c r="J207" t="s">
        <v>14</v>
      </c>
      <c r="K207" t="s">
        <v>15</v>
      </c>
      <c r="L207">
        <v>49</v>
      </c>
      <c r="O207" s="3">
        <v>35968</v>
      </c>
      <c r="P207" s="3">
        <v>44845</v>
      </c>
      <c r="Q207" s="1" t="s">
        <v>14</v>
      </c>
      <c r="R207" s="7">
        <v>24.32054794520548</v>
      </c>
      <c r="S207" t="s">
        <v>14</v>
      </c>
      <c r="T207" t="s">
        <v>14</v>
      </c>
      <c r="U207" t="s">
        <v>24</v>
      </c>
    </row>
    <row r="208" spans="1:21" hidden="1" x14ac:dyDescent="0.25">
      <c r="A208" t="s">
        <v>66</v>
      </c>
      <c r="B208">
        <v>36.474722</v>
      </c>
      <c r="C208">
        <v>-95.034722000000002</v>
      </c>
      <c r="D208" t="s">
        <v>271</v>
      </c>
      <c r="E208" t="s">
        <v>240</v>
      </c>
      <c r="F208" t="s">
        <v>11</v>
      </c>
      <c r="G208" t="s">
        <v>224</v>
      </c>
      <c r="H208">
        <v>0</v>
      </c>
      <c r="I208" t="s">
        <v>15</v>
      </c>
      <c r="J208" s="5" t="s">
        <v>14</v>
      </c>
      <c r="K208" t="s">
        <v>15</v>
      </c>
      <c r="L208">
        <v>40</v>
      </c>
      <c r="O208" s="3">
        <v>36808</v>
      </c>
      <c r="P208" s="3">
        <v>44845</v>
      </c>
      <c r="Q208" s="1" t="s">
        <v>14</v>
      </c>
      <c r="R208" s="7">
        <v>22.019178082191782</v>
      </c>
      <c r="S208" t="s">
        <v>14</v>
      </c>
      <c r="T208" t="s">
        <v>14</v>
      </c>
      <c r="U208" t="s">
        <v>19</v>
      </c>
    </row>
    <row r="209" spans="1:21" hidden="1" x14ac:dyDescent="0.25">
      <c r="A209" t="s">
        <v>66</v>
      </c>
      <c r="B209">
        <v>36.474722</v>
      </c>
      <c r="C209">
        <v>-95.034722000000002</v>
      </c>
      <c r="D209" t="s">
        <v>271</v>
      </c>
      <c r="E209" t="s">
        <v>240</v>
      </c>
      <c r="F209" t="s">
        <v>11</v>
      </c>
      <c r="G209" t="s">
        <v>225</v>
      </c>
      <c r="H209">
        <v>0</v>
      </c>
      <c r="I209" t="s">
        <v>15</v>
      </c>
      <c r="J209" t="s">
        <v>14</v>
      </c>
      <c r="K209" s="2" t="s">
        <v>15</v>
      </c>
      <c r="L209">
        <v>42</v>
      </c>
      <c r="M209" t="s">
        <v>17</v>
      </c>
      <c r="N209" t="s">
        <v>17</v>
      </c>
      <c r="O209" s="3">
        <v>35968</v>
      </c>
      <c r="P209" s="3">
        <v>44845</v>
      </c>
      <c r="Q209" s="1" t="s">
        <v>14</v>
      </c>
      <c r="R209" s="7">
        <v>24.32054794520548</v>
      </c>
      <c r="S209" t="s">
        <v>14</v>
      </c>
      <c r="T209" t="s">
        <v>14</v>
      </c>
      <c r="U209" t="s">
        <v>21</v>
      </c>
    </row>
    <row r="210" spans="1:21" hidden="1" x14ac:dyDescent="0.25">
      <c r="A210" t="s">
        <v>66</v>
      </c>
      <c r="B210">
        <v>36.474722</v>
      </c>
      <c r="C210">
        <v>-95.034722000000002</v>
      </c>
      <c r="D210" t="s">
        <v>271</v>
      </c>
      <c r="E210" t="s">
        <v>240</v>
      </c>
      <c r="F210" t="s">
        <v>11</v>
      </c>
      <c r="G210" t="s">
        <v>223</v>
      </c>
      <c r="H210">
        <v>0</v>
      </c>
      <c r="I210" t="s">
        <v>15</v>
      </c>
      <c r="J210" t="s">
        <v>14</v>
      </c>
      <c r="K210" t="s">
        <v>15</v>
      </c>
      <c r="L210">
        <v>49</v>
      </c>
      <c r="O210" s="3">
        <v>35968</v>
      </c>
      <c r="P210" s="3">
        <v>44845</v>
      </c>
      <c r="Q210" s="1" t="s">
        <v>14</v>
      </c>
      <c r="R210" s="7">
        <v>24.32054794520548</v>
      </c>
      <c r="S210" t="s">
        <v>14</v>
      </c>
      <c r="T210" t="s">
        <v>14</v>
      </c>
      <c r="U210" t="s">
        <v>24</v>
      </c>
    </row>
    <row r="211" spans="1:21" hidden="1" x14ac:dyDescent="0.25">
      <c r="A211" t="s">
        <v>66</v>
      </c>
      <c r="B211">
        <v>36.474722</v>
      </c>
      <c r="C211">
        <v>-95.034722000000002</v>
      </c>
      <c r="D211" t="s">
        <v>271</v>
      </c>
      <c r="E211" t="s">
        <v>240</v>
      </c>
      <c r="F211" t="s">
        <v>11</v>
      </c>
      <c r="G211" t="s">
        <v>226</v>
      </c>
      <c r="H211">
        <v>0</v>
      </c>
      <c r="I211" t="s">
        <v>15</v>
      </c>
      <c r="J211" t="s">
        <v>14</v>
      </c>
      <c r="K211" t="s">
        <v>15</v>
      </c>
      <c r="L211">
        <v>40</v>
      </c>
      <c r="O211" s="3">
        <v>36808</v>
      </c>
      <c r="P211" s="3">
        <v>37540</v>
      </c>
      <c r="Q211" s="1" t="s">
        <v>14</v>
      </c>
      <c r="R211" s="7">
        <v>2.0054794520547947</v>
      </c>
      <c r="S211" t="s">
        <v>14</v>
      </c>
      <c r="T211" t="s">
        <v>14</v>
      </c>
      <c r="U211" t="s">
        <v>27</v>
      </c>
    </row>
    <row r="212" spans="1:21" hidden="1" x14ac:dyDescent="0.25">
      <c r="A212" t="s">
        <v>67</v>
      </c>
      <c r="B212">
        <v>36.743032999999997</v>
      </c>
      <c r="C212">
        <v>-98.156006000000005</v>
      </c>
      <c r="D212" t="s">
        <v>262</v>
      </c>
      <c r="E212" t="s">
        <v>240</v>
      </c>
      <c r="F212" t="s">
        <v>11</v>
      </c>
      <c r="G212" t="s">
        <v>221</v>
      </c>
      <c r="H212">
        <v>0</v>
      </c>
      <c r="I212" t="s">
        <v>15</v>
      </c>
      <c r="J212" t="s">
        <v>14</v>
      </c>
      <c r="K212" t="s">
        <v>15</v>
      </c>
      <c r="L212">
        <v>19</v>
      </c>
      <c r="M212" t="s">
        <v>16</v>
      </c>
      <c r="N212" t="s">
        <v>31</v>
      </c>
      <c r="O212" s="3">
        <v>37487</v>
      </c>
      <c r="P212" s="3">
        <v>43661</v>
      </c>
      <c r="Q212" s="1" t="s">
        <v>14</v>
      </c>
      <c r="R212" s="7">
        <v>16.915068493150685</v>
      </c>
      <c r="S212" t="s">
        <v>14</v>
      </c>
      <c r="T212" t="s">
        <v>14</v>
      </c>
      <c r="U212" t="s">
        <v>13</v>
      </c>
    </row>
    <row r="213" spans="1:21" hidden="1" x14ac:dyDescent="0.25">
      <c r="A213" t="s">
        <v>67</v>
      </c>
      <c r="B213">
        <v>36.743032999999997</v>
      </c>
      <c r="C213">
        <v>-98.156006000000005</v>
      </c>
      <c r="D213" t="s">
        <v>262</v>
      </c>
      <c r="E213" t="s">
        <v>240</v>
      </c>
      <c r="F213" t="s">
        <v>11</v>
      </c>
      <c r="G213" t="s">
        <v>222</v>
      </c>
      <c r="H213">
        <v>2</v>
      </c>
      <c r="I213" t="s">
        <v>23</v>
      </c>
      <c r="J213" s="4" t="s">
        <v>38</v>
      </c>
      <c r="K213">
        <v>2.8000000000000001E-2</v>
      </c>
      <c r="L213">
        <v>26</v>
      </c>
      <c r="M213" t="s">
        <v>16</v>
      </c>
      <c r="N213" t="s">
        <v>17</v>
      </c>
      <c r="O213" s="3">
        <v>35912</v>
      </c>
      <c r="P213" s="3">
        <v>43661</v>
      </c>
      <c r="Q213" s="1">
        <v>0.42460273972602741</v>
      </c>
      <c r="R213" s="7">
        <v>21.230136986301371</v>
      </c>
      <c r="S213">
        <v>1.4</v>
      </c>
      <c r="T213" s="2">
        <v>1.9944438356164382</v>
      </c>
      <c r="U213" t="s">
        <v>24</v>
      </c>
    </row>
    <row r="214" spans="1:21" hidden="1" x14ac:dyDescent="0.25">
      <c r="A214" t="s">
        <v>67</v>
      </c>
      <c r="B214">
        <v>36.743032999999997</v>
      </c>
      <c r="C214">
        <v>-98.156006000000005</v>
      </c>
      <c r="D214" t="s">
        <v>262</v>
      </c>
      <c r="E214" t="s">
        <v>240</v>
      </c>
      <c r="F214" t="s">
        <v>11</v>
      </c>
      <c r="G214" t="s">
        <v>224</v>
      </c>
      <c r="H214">
        <v>0</v>
      </c>
      <c r="I214" t="s">
        <v>15</v>
      </c>
      <c r="J214" t="s">
        <v>14</v>
      </c>
      <c r="K214" t="s">
        <v>15</v>
      </c>
      <c r="L214">
        <v>18</v>
      </c>
      <c r="M214" t="s">
        <v>16</v>
      </c>
      <c r="N214" t="s">
        <v>16</v>
      </c>
      <c r="O214" s="3">
        <v>37222</v>
      </c>
      <c r="P214" s="3">
        <v>43661</v>
      </c>
      <c r="Q214" s="1" t="s">
        <v>14</v>
      </c>
      <c r="R214" s="7">
        <v>17.641095890410959</v>
      </c>
      <c r="S214" t="s">
        <v>14</v>
      </c>
      <c r="T214" t="s">
        <v>14</v>
      </c>
      <c r="U214" t="s">
        <v>19</v>
      </c>
    </row>
    <row r="215" spans="1:21" hidden="1" x14ac:dyDescent="0.25">
      <c r="A215" t="s">
        <v>67</v>
      </c>
      <c r="B215">
        <v>36.743032999999997</v>
      </c>
      <c r="C215">
        <v>-98.156006000000005</v>
      </c>
      <c r="D215" t="s">
        <v>262</v>
      </c>
      <c r="E215" t="s">
        <v>240</v>
      </c>
      <c r="F215" t="s">
        <v>11</v>
      </c>
      <c r="G215" t="s">
        <v>225</v>
      </c>
      <c r="H215">
        <v>3</v>
      </c>
      <c r="I215" t="s">
        <v>23</v>
      </c>
      <c r="J215" t="s">
        <v>22</v>
      </c>
      <c r="K215" s="2">
        <v>164.2</v>
      </c>
      <c r="L215">
        <v>33</v>
      </c>
      <c r="M215" t="s">
        <v>16</v>
      </c>
      <c r="N215" t="s">
        <v>17</v>
      </c>
      <c r="O215" s="3">
        <v>35912</v>
      </c>
      <c r="P215" s="3">
        <v>43661</v>
      </c>
      <c r="Q215" s="1">
        <v>1.7004821917808219</v>
      </c>
      <c r="R215" s="7">
        <v>21.230136986301371</v>
      </c>
      <c r="S215">
        <v>2050</v>
      </c>
      <c r="T215" s="2">
        <v>5535.9884931506849</v>
      </c>
      <c r="U215" t="s">
        <v>21</v>
      </c>
    </row>
    <row r="216" spans="1:21" hidden="1" x14ac:dyDescent="0.25">
      <c r="A216" t="s">
        <v>67</v>
      </c>
      <c r="B216">
        <v>36.743032999999997</v>
      </c>
      <c r="C216">
        <v>-98.156006000000005</v>
      </c>
      <c r="D216" t="s">
        <v>262</v>
      </c>
      <c r="E216" t="s">
        <v>240</v>
      </c>
      <c r="F216" t="s">
        <v>11</v>
      </c>
      <c r="G216" t="s">
        <v>223</v>
      </c>
      <c r="H216">
        <v>0</v>
      </c>
      <c r="I216" t="s">
        <v>15</v>
      </c>
      <c r="J216" t="s">
        <v>14</v>
      </c>
      <c r="K216" t="s">
        <v>15</v>
      </c>
      <c r="L216">
        <v>26</v>
      </c>
      <c r="M216" t="s">
        <v>16</v>
      </c>
      <c r="N216" t="s">
        <v>31</v>
      </c>
      <c r="O216" s="3">
        <v>35912</v>
      </c>
      <c r="P216" s="3">
        <v>43661</v>
      </c>
      <c r="Q216" s="1" t="s">
        <v>14</v>
      </c>
      <c r="R216" s="7">
        <v>21.230136986301371</v>
      </c>
      <c r="S216" t="s">
        <v>14</v>
      </c>
      <c r="T216" t="s">
        <v>14</v>
      </c>
      <c r="U216" t="s">
        <v>24</v>
      </c>
    </row>
    <row r="217" spans="1:21" hidden="1" x14ac:dyDescent="0.25">
      <c r="A217" t="s">
        <v>67</v>
      </c>
      <c r="B217">
        <v>36.743032999999997</v>
      </c>
      <c r="C217">
        <v>-98.156006000000005</v>
      </c>
      <c r="D217" t="s">
        <v>262</v>
      </c>
      <c r="E217" t="s">
        <v>240</v>
      </c>
      <c r="F217" t="s">
        <v>11</v>
      </c>
      <c r="G217" t="s">
        <v>226</v>
      </c>
      <c r="H217">
        <v>0</v>
      </c>
      <c r="I217" t="s">
        <v>15</v>
      </c>
      <c r="J217" t="s">
        <v>14</v>
      </c>
      <c r="K217" t="s">
        <v>15</v>
      </c>
      <c r="L217">
        <v>18</v>
      </c>
      <c r="M217" t="s">
        <v>16</v>
      </c>
      <c r="N217" t="s">
        <v>16</v>
      </c>
      <c r="O217" s="3">
        <v>37222</v>
      </c>
      <c r="P217" s="3">
        <v>43661</v>
      </c>
      <c r="Q217" s="1" t="s">
        <v>14</v>
      </c>
      <c r="R217" s="7">
        <v>17.641095890410959</v>
      </c>
      <c r="S217" t="s">
        <v>14</v>
      </c>
      <c r="T217" t="s">
        <v>14</v>
      </c>
      <c r="U217" t="s">
        <v>27</v>
      </c>
    </row>
    <row r="218" spans="1:21" hidden="1" x14ac:dyDescent="0.25">
      <c r="A218" t="s">
        <v>68</v>
      </c>
      <c r="B218">
        <v>35.617192000000003</v>
      </c>
      <c r="C218">
        <v>-95.166388999999995</v>
      </c>
      <c r="D218" t="s">
        <v>263</v>
      </c>
      <c r="E218" t="s">
        <v>240</v>
      </c>
      <c r="F218" t="s">
        <v>11</v>
      </c>
      <c r="G218" t="s">
        <v>221</v>
      </c>
      <c r="H218">
        <v>0</v>
      </c>
      <c r="I218" t="s">
        <v>15</v>
      </c>
      <c r="J218" t="s">
        <v>14</v>
      </c>
      <c r="K218" t="s">
        <v>15</v>
      </c>
      <c r="L218">
        <v>27</v>
      </c>
      <c r="M218" t="s">
        <v>16</v>
      </c>
      <c r="N218" t="s">
        <v>31</v>
      </c>
      <c r="O218" s="3">
        <v>37901</v>
      </c>
      <c r="P218" s="3">
        <v>44881</v>
      </c>
      <c r="Q218" s="1" t="s">
        <v>14</v>
      </c>
      <c r="R218" s="7">
        <v>19.123287671232877</v>
      </c>
      <c r="S218" t="s">
        <v>14</v>
      </c>
      <c r="T218" t="s">
        <v>14</v>
      </c>
      <c r="U218" t="s">
        <v>13</v>
      </c>
    </row>
    <row r="219" spans="1:21" hidden="1" x14ac:dyDescent="0.25">
      <c r="A219" t="s">
        <v>68</v>
      </c>
      <c r="B219">
        <v>35.617192000000003</v>
      </c>
      <c r="C219">
        <v>-95.166388999999995</v>
      </c>
      <c r="D219" t="s">
        <v>263</v>
      </c>
      <c r="E219" t="s">
        <v>240</v>
      </c>
      <c r="F219" t="s">
        <v>11</v>
      </c>
      <c r="G219" t="s">
        <v>222</v>
      </c>
      <c r="H219">
        <v>0</v>
      </c>
      <c r="I219" t="s">
        <v>15</v>
      </c>
      <c r="J219" t="s">
        <v>14</v>
      </c>
      <c r="K219" t="s">
        <v>15</v>
      </c>
      <c r="L219">
        <v>32</v>
      </c>
      <c r="M219" t="s">
        <v>16</v>
      </c>
      <c r="N219" t="s">
        <v>31</v>
      </c>
      <c r="O219" s="3">
        <v>36830</v>
      </c>
      <c r="P219" s="3">
        <v>44881</v>
      </c>
      <c r="Q219" s="1" t="s">
        <v>14</v>
      </c>
      <c r="R219" s="7">
        <v>22.057534246575344</v>
      </c>
      <c r="S219" t="s">
        <v>14</v>
      </c>
      <c r="T219" t="s">
        <v>14</v>
      </c>
      <c r="U219" t="s">
        <v>24</v>
      </c>
    </row>
    <row r="220" spans="1:21" hidden="1" x14ac:dyDescent="0.25">
      <c r="A220" t="s">
        <v>68</v>
      </c>
      <c r="B220">
        <v>35.617192000000003</v>
      </c>
      <c r="C220">
        <v>-95.166388999999995</v>
      </c>
      <c r="D220" t="s">
        <v>263</v>
      </c>
      <c r="E220" t="s">
        <v>240</v>
      </c>
      <c r="F220" t="s">
        <v>11</v>
      </c>
      <c r="G220" t="s">
        <v>224</v>
      </c>
      <c r="H220">
        <v>0</v>
      </c>
      <c r="I220" t="s">
        <v>15</v>
      </c>
      <c r="J220" t="s">
        <v>14</v>
      </c>
      <c r="K220" t="s">
        <v>15</v>
      </c>
      <c r="L220">
        <v>26</v>
      </c>
      <c r="M220" t="s">
        <v>31</v>
      </c>
      <c r="N220" t="s">
        <v>16</v>
      </c>
      <c r="O220" s="3">
        <v>36830</v>
      </c>
      <c r="P220" s="3">
        <v>44881</v>
      </c>
      <c r="Q220" s="1" t="s">
        <v>14</v>
      </c>
      <c r="R220" s="7">
        <v>22.057534246575344</v>
      </c>
      <c r="S220" t="s">
        <v>14</v>
      </c>
      <c r="T220" t="s">
        <v>14</v>
      </c>
      <c r="U220" t="s">
        <v>19</v>
      </c>
    </row>
    <row r="221" spans="1:21" hidden="1" x14ac:dyDescent="0.25">
      <c r="A221" t="s">
        <v>68</v>
      </c>
      <c r="B221">
        <v>35.617192000000003</v>
      </c>
      <c r="C221">
        <v>-95.166388999999995</v>
      </c>
      <c r="D221" t="s">
        <v>263</v>
      </c>
      <c r="E221" t="s">
        <v>240</v>
      </c>
      <c r="F221" t="s">
        <v>11</v>
      </c>
      <c r="G221" t="s">
        <v>225</v>
      </c>
      <c r="H221">
        <v>3</v>
      </c>
      <c r="I221" t="s">
        <v>23</v>
      </c>
      <c r="J221" t="s">
        <v>22</v>
      </c>
      <c r="K221" s="2">
        <v>2.9489999999999998</v>
      </c>
      <c r="L221">
        <v>32</v>
      </c>
      <c r="M221">
        <v>30</v>
      </c>
      <c r="N221" t="s">
        <v>31</v>
      </c>
      <c r="O221" s="3">
        <v>36830</v>
      </c>
      <c r="P221" s="3">
        <v>44774</v>
      </c>
      <c r="Q221" s="1">
        <v>0.55811449672424052</v>
      </c>
      <c r="R221" s="7">
        <v>21.764383561643836</v>
      </c>
      <c r="S221">
        <v>115</v>
      </c>
      <c r="T221" s="2">
        <v>179.18316712328766</v>
      </c>
      <c r="U221" t="s">
        <v>21</v>
      </c>
    </row>
    <row r="222" spans="1:21" hidden="1" x14ac:dyDescent="0.25">
      <c r="A222" t="s">
        <v>68</v>
      </c>
      <c r="B222">
        <v>35.617192000000003</v>
      </c>
      <c r="C222">
        <v>-95.166388999999995</v>
      </c>
      <c r="D222" t="s">
        <v>263</v>
      </c>
      <c r="E222" t="s">
        <v>240</v>
      </c>
      <c r="F222" t="s">
        <v>11</v>
      </c>
      <c r="G222" t="s">
        <v>223</v>
      </c>
      <c r="H222">
        <v>0</v>
      </c>
      <c r="I222" t="s">
        <v>15</v>
      </c>
      <c r="J222" t="s">
        <v>14</v>
      </c>
      <c r="K222" t="s">
        <v>15</v>
      </c>
      <c r="L222">
        <v>32</v>
      </c>
      <c r="M222" t="s">
        <v>16</v>
      </c>
      <c r="N222" t="s">
        <v>33</v>
      </c>
      <c r="O222" s="3">
        <v>36830</v>
      </c>
      <c r="P222" s="3">
        <v>44881</v>
      </c>
      <c r="Q222" s="1" t="s">
        <v>14</v>
      </c>
      <c r="R222" s="7">
        <v>22.057534246575344</v>
      </c>
      <c r="S222" t="s">
        <v>14</v>
      </c>
      <c r="T222" t="s">
        <v>14</v>
      </c>
      <c r="U222" t="s">
        <v>24</v>
      </c>
    </row>
    <row r="223" spans="1:21" hidden="1" x14ac:dyDescent="0.25">
      <c r="A223" t="s">
        <v>68</v>
      </c>
      <c r="B223">
        <v>35.617192000000003</v>
      </c>
      <c r="C223">
        <v>-95.166388999999995</v>
      </c>
      <c r="D223" t="s">
        <v>263</v>
      </c>
      <c r="E223" t="s">
        <v>240</v>
      </c>
      <c r="F223" t="s">
        <v>11</v>
      </c>
      <c r="G223" t="s">
        <v>226</v>
      </c>
      <c r="H223">
        <v>0</v>
      </c>
      <c r="I223" t="s">
        <v>15</v>
      </c>
      <c r="J223" t="s">
        <v>14</v>
      </c>
      <c r="K223" t="s">
        <v>15</v>
      </c>
      <c r="L223">
        <v>27</v>
      </c>
      <c r="M223" t="s">
        <v>16</v>
      </c>
      <c r="N223" t="s">
        <v>31</v>
      </c>
      <c r="O223" s="3">
        <v>36830</v>
      </c>
      <c r="P223" s="3">
        <v>44881</v>
      </c>
      <c r="Q223" s="1" t="s">
        <v>14</v>
      </c>
      <c r="R223" s="7">
        <v>22.057534246575344</v>
      </c>
      <c r="S223" t="s">
        <v>14</v>
      </c>
      <c r="T223" t="s">
        <v>14</v>
      </c>
      <c r="U223" t="s">
        <v>27</v>
      </c>
    </row>
    <row r="224" spans="1:21" hidden="1" x14ac:dyDescent="0.25">
      <c r="A224" t="s">
        <v>69</v>
      </c>
      <c r="B224">
        <v>35.818885999999999</v>
      </c>
      <c r="C224">
        <v>-97.438850000000002</v>
      </c>
      <c r="D224" t="s">
        <v>264</v>
      </c>
      <c r="E224" t="s">
        <v>240</v>
      </c>
      <c r="F224" t="s">
        <v>11</v>
      </c>
      <c r="G224" t="s">
        <v>221</v>
      </c>
      <c r="H224">
        <v>1</v>
      </c>
      <c r="I224" t="s">
        <v>23</v>
      </c>
      <c r="J224" s="5" t="s">
        <v>40</v>
      </c>
      <c r="K224">
        <v>1.2829999999999999</v>
      </c>
      <c r="L224">
        <v>18</v>
      </c>
      <c r="M224" t="s">
        <v>16</v>
      </c>
      <c r="N224" t="s">
        <v>17</v>
      </c>
      <c r="O224" s="3">
        <v>37909</v>
      </c>
      <c r="P224" s="3">
        <v>44826</v>
      </c>
      <c r="Q224" s="1">
        <v>3.0392160958904109</v>
      </c>
      <c r="R224" s="7">
        <v>18.950684931506849</v>
      </c>
      <c r="S224">
        <v>8</v>
      </c>
      <c r="T224" s="2">
        <v>32.313728767123287</v>
      </c>
      <c r="U224" t="s">
        <v>13</v>
      </c>
    </row>
    <row r="225" spans="1:21" hidden="1" x14ac:dyDescent="0.25">
      <c r="A225" t="s">
        <v>69</v>
      </c>
      <c r="B225">
        <v>35.818885999999999</v>
      </c>
      <c r="C225">
        <v>-97.438850000000002</v>
      </c>
      <c r="D225" t="s">
        <v>264</v>
      </c>
      <c r="E225" t="s">
        <v>240</v>
      </c>
      <c r="F225" t="s">
        <v>11</v>
      </c>
      <c r="G225" t="s">
        <v>222</v>
      </c>
      <c r="H225">
        <v>1</v>
      </c>
      <c r="I225" t="s">
        <v>23</v>
      </c>
      <c r="J225" s="4" t="s">
        <v>40</v>
      </c>
      <c r="K225">
        <v>1.2699999999999999E-2</v>
      </c>
      <c r="L225">
        <v>25</v>
      </c>
      <c r="M225" t="s">
        <v>16</v>
      </c>
      <c r="N225" t="s">
        <v>17</v>
      </c>
      <c r="O225" s="3">
        <v>35899</v>
      </c>
      <c r="P225" s="3">
        <v>44860</v>
      </c>
      <c r="Q225" s="1">
        <v>0.32820389329488114</v>
      </c>
      <c r="R225" s="7">
        <v>24.550684931506851</v>
      </c>
      <c r="S225">
        <v>0.95</v>
      </c>
      <c r="T225" s="2">
        <v>1.261793698630137</v>
      </c>
      <c r="U225" t="s">
        <v>24</v>
      </c>
    </row>
    <row r="226" spans="1:21" hidden="1" x14ac:dyDescent="0.25">
      <c r="A226" t="s">
        <v>69</v>
      </c>
      <c r="B226">
        <v>35.818885999999999</v>
      </c>
      <c r="C226">
        <v>-97.438850000000002</v>
      </c>
      <c r="D226" t="s">
        <v>264</v>
      </c>
      <c r="E226" t="s">
        <v>240</v>
      </c>
      <c r="F226" t="s">
        <v>11</v>
      </c>
      <c r="G226" t="s">
        <v>224</v>
      </c>
      <c r="H226">
        <v>0</v>
      </c>
      <c r="I226" t="s">
        <v>15</v>
      </c>
      <c r="J226" t="s">
        <v>14</v>
      </c>
      <c r="K226" t="s">
        <v>15</v>
      </c>
      <c r="L226">
        <v>20</v>
      </c>
      <c r="M226" t="s">
        <v>16</v>
      </c>
      <c r="N226" t="s">
        <v>17</v>
      </c>
      <c r="O226" s="3">
        <v>37200</v>
      </c>
      <c r="P226" s="3">
        <v>44816</v>
      </c>
      <c r="Q226" s="1" t="s">
        <v>14</v>
      </c>
      <c r="R226" s="7">
        <v>20.865753424657534</v>
      </c>
      <c r="S226" t="s">
        <v>14</v>
      </c>
      <c r="T226" t="s">
        <v>14</v>
      </c>
      <c r="U226" t="s">
        <v>19</v>
      </c>
    </row>
    <row r="227" spans="1:21" hidden="1" x14ac:dyDescent="0.25">
      <c r="A227" t="s">
        <v>69</v>
      </c>
      <c r="B227">
        <v>35.818885999999999</v>
      </c>
      <c r="C227">
        <v>-97.438850000000002</v>
      </c>
      <c r="D227" t="s">
        <v>264</v>
      </c>
      <c r="E227" t="s">
        <v>240</v>
      </c>
      <c r="F227" t="s">
        <v>11</v>
      </c>
      <c r="G227" t="s">
        <v>225</v>
      </c>
      <c r="H227">
        <v>0</v>
      </c>
      <c r="I227" t="s">
        <v>15</v>
      </c>
      <c r="J227" t="s">
        <v>14</v>
      </c>
      <c r="K227" s="2" t="s">
        <v>15</v>
      </c>
      <c r="L227">
        <v>27</v>
      </c>
      <c r="M227" t="s">
        <v>17</v>
      </c>
      <c r="N227" t="s">
        <v>17</v>
      </c>
      <c r="O227" s="3">
        <v>35604</v>
      </c>
      <c r="P227" s="3">
        <v>44816</v>
      </c>
      <c r="Q227" s="1" t="s">
        <v>14</v>
      </c>
      <c r="R227" s="7">
        <v>25.238356164383561</v>
      </c>
      <c r="S227" t="s">
        <v>14</v>
      </c>
      <c r="T227" t="s">
        <v>14</v>
      </c>
      <c r="U227" t="s">
        <v>21</v>
      </c>
    </row>
    <row r="228" spans="1:21" hidden="1" x14ac:dyDescent="0.25">
      <c r="A228" t="s">
        <v>69</v>
      </c>
      <c r="B228">
        <v>35.818885999999999</v>
      </c>
      <c r="C228">
        <v>-97.438850000000002</v>
      </c>
      <c r="D228" t="s">
        <v>264</v>
      </c>
      <c r="E228" t="s">
        <v>240</v>
      </c>
      <c r="F228" t="s">
        <v>11</v>
      </c>
      <c r="G228" t="s">
        <v>223</v>
      </c>
      <c r="H228">
        <v>1</v>
      </c>
      <c r="I228" t="s">
        <v>23</v>
      </c>
      <c r="J228" s="4" t="s">
        <v>40</v>
      </c>
      <c r="K228">
        <v>4.7859999999999998E-4</v>
      </c>
      <c r="L228">
        <v>25</v>
      </c>
      <c r="M228" t="s">
        <v>31</v>
      </c>
      <c r="N228" t="s">
        <v>17</v>
      </c>
      <c r="O228" s="3">
        <v>35899</v>
      </c>
      <c r="P228" s="3">
        <v>44816</v>
      </c>
      <c r="Q228" s="1">
        <v>0.22926006983615355</v>
      </c>
      <c r="R228" s="7">
        <v>24.43013698630137</v>
      </c>
      <c r="S228">
        <v>5.0999999999999997E-2</v>
      </c>
      <c r="T228" s="2">
        <v>6.2692263561643827E-2</v>
      </c>
      <c r="U228" t="s">
        <v>24</v>
      </c>
    </row>
    <row r="229" spans="1:21" hidden="1" x14ac:dyDescent="0.25">
      <c r="A229" t="s">
        <v>69</v>
      </c>
      <c r="B229">
        <v>35.818885999999999</v>
      </c>
      <c r="C229">
        <v>-97.438850000000002</v>
      </c>
      <c r="D229" t="s">
        <v>264</v>
      </c>
      <c r="E229" t="s">
        <v>240</v>
      </c>
      <c r="F229" t="s">
        <v>11</v>
      </c>
      <c r="G229" t="s">
        <v>226</v>
      </c>
      <c r="H229">
        <v>0</v>
      </c>
      <c r="I229" t="s">
        <v>15</v>
      </c>
      <c r="J229" t="s">
        <v>14</v>
      </c>
      <c r="K229" t="s">
        <v>15</v>
      </c>
      <c r="L229">
        <v>21</v>
      </c>
      <c r="M229" t="s">
        <v>16</v>
      </c>
      <c r="N229" t="s">
        <v>17</v>
      </c>
      <c r="O229" s="3">
        <v>37200</v>
      </c>
      <c r="P229" s="3">
        <v>44816</v>
      </c>
      <c r="Q229" s="1" t="s">
        <v>14</v>
      </c>
      <c r="R229" s="7">
        <v>20.865753424657534</v>
      </c>
      <c r="S229" t="s">
        <v>14</v>
      </c>
      <c r="T229" t="s">
        <v>14</v>
      </c>
      <c r="U229" t="s">
        <v>27</v>
      </c>
    </row>
    <row r="230" spans="1:21" hidden="1" x14ac:dyDescent="0.25">
      <c r="A230" t="s">
        <v>70</v>
      </c>
      <c r="B230">
        <v>35.581018999999998</v>
      </c>
      <c r="C230">
        <v>-97.597431</v>
      </c>
      <c r="D230" t="s">
        <v>242</v>
      </c>
      <c r="E230" t="s">
        <v>240</v>
      </c>
      <c r="F230" t="s">
        <v>11</v>
      </c>
      <c r="G230" t="s">
        <v>221</v>
      </c>
      <c r="H230">
        <v>0</v>
      </c>
      <c r="I230" t="s">
        <v>15</v>
      </c>
      <c r="J230" t="s">
        <v>14</v>
      </c>
      <c r="K230" t="s">
        <v>15</v>
      </c>
      <c r="L230">
        <v>24</v>
      </c>
      <c r="M230" t="s">
        <v>16</v>
      </c>
      <c r="N230" t="s">
        <v>33</v>
      </c>
      <c r="O230" s="3">
        <v>37873</v>
      </c>
      <c r="P230" s="3">
        <v>44446</v>
      </c>
      <c r="Q230" s="1" t="s">
        <v>14</v>
      </c>
      <c r="R230" s="7">
        <v>18.008219178082193</v>
      </c>
      <c r="S230" t="s">
        <v>14</v>
      </c>
      <c r="T230" t="s">
        <v>14</v>
      </c>
      <c r="U230" t="s">
        <v>13</v>
      </c>
    </row>
    <row r="231" spans="1:21" hidden="1" x14ac:dyDescent="0.25">
      <c r="A231" t="s">
        <v>70</v>
      </c>
      <c r="B231">
        <v>35.581018999999998</v>
      </c>
      <c r="C231">
        <v>-97.597431</v>
      </c>
      <c r="D231" t="s">
        <v>242</v>
      </c>
      <c r="E231" t="s">
        <v>240</v>
      </c>
      <c r="F231" t="s">
        <v>11</v>
      </c>
      <c r="G231" t="s">
        <v>222</v>
      </c>
      <c r="H231">
        <v>0</v>
      </c>
      <c r="I231" t="s">
        <v>15</v>
      </c>
      <c r="J231" t="s">
        <v>14</v>
      </c>
      <c r="K231" t="s">
        <v>15</v>
      </c>
      <c r="L231">
        <v>35</v>
      </c>
      <c r="M231" t="s">
        <v>17</v>
      </c>
      <c r="N231" t="s">
        <v>16</v>
      </c>
      <c r="O231" s="3">
        <v>37173</v>
      </c>
      <c r="P231" s="3">
        <v>44446</v>
      </c>
      <c r="Q231" s="1" t="s">
        <v>14</v>
      </c>
      <c r="R231" s="7">
        <v>19.926027397260274</v>
      </c>
      <c r="S231" t="s">
        <v>14</v>
      </c>
      <c r="T231" t="s">
        <v>14</v>
      </c>
      <c r="U231" t="s">
        <v>24</v>
      </c>
    </row>
    <row r="232" spans="1:21" hidden="1" x14ac:dyDescent="0.25">
      <c r="A232" t="s">
        <v>70</v>
      </c>
      <c r="B232">
        <v>35.581018999999998</v>
      </c>
      <c r="C232">
        <v>-97.597431</v>
      </c>
      <c r="D232" t="s">
        <v>242</v>
      </c>
      <c r="E232" t="s">
        <v>240</v>
      </c>
      <c r="F232" t="s">
        <v>11</v>
      </c>
      <c r="G232" t="s">
        <v>224</v>
      </c>
      <c r="H232">
        <v>1</v>
      </c>
      <c r="I232" t="s">
        <v>23</v>
      </c>
      <c r="J232" s="5" t="s">
        <v>40</v>
      </c>
      <c r="K232">
        <v>1.3320000000000001</v>
      </c>
      <c r="L232">
        <v>20</v>
      </c>
      <c r="M232" t="s">
        <v>16</v>
      </c>
      <c r="N232" t="s">
        <v>17</v>
      </c>
      <c r="O232" s="3">
        <v>37265</v>
      </c>
      <c r="P232" s="3">
        <v>44446</v>
      </c>
      <c r="Q232" s="1">
        <v>0.40316510010537415</v>
      </c>
      <c r="R232" s="7">
        <v>19.673972602739727</v>
      </c>
      <c r="S232">
        <v>65</v>
      </c>
      <c r="T232" s="2">
        <v>91.205731506849318</v>
      </c>
      <c r="U232" t="s">
        <v>19</v>
      </c>
    </row>
    <row r="233" spans="1:21" hidden="1" x14ac:dyDescent="0.25">
      <c r="A233" t="s">
        <v>70</v>
      </c>
      <c r="B233">
        <v>35.581018999999998</v>
      </c>
      <c r="C233">
        <v>-97.597431</v>
      </c>
      <c r="D233" t="s">
        <v>242</v>
      </c>
      <c r="E233" t="s">
        <v>240</v>
      </c>
      <c r="F233" t="s">
        <v>11</v>
      </c>
      <c r="G233" t="s">
        <v>225</v>
      </c>
      <c r="H233">
        <v>3</v>
      </c>
      <c r="I233" t="s">
        <v>23</v>
      </c>
      <c r="J233" t="s">
        <v>22</v>
      </c>
      <c r="K233" s="2">
        <v>8.6940000000000008</v>
      </c>
      <c r="L233">
        <v>32</v>
      </c>
      <c r="M233" t="s">
        <v>16</v>
      </c>
      <c r="N233" t="s">
        <v>16</v>
      </c>
      <c r="O233" s="3">
        <v>35843</v>
      </c>
      <c r="P233" s="3">
        <v>43334</v>
      </c>
      <c r="Q233" s="1">
        <v>0.19825495890410971</v>
      </c>
      <c r="R233" s="7">
        <v>20.523287671232875</v>
      </c>
      <c r="S233">
        <v>900</v>
      </c>
      <c r="T233" s="2">
        <v>1078.4294630136988</v>
      </c>
      <c r="U233" t="s">
        <v>21</v>
      </c>
    </row>
    <row r="234" spans="1:21" hidden="1" x14ac:dyDescent="0.25">
      <c r="A234" t="s">
        <v>70</v>
      </c>
      <c r="B234">
        <v>35.581018999999998</v>
      </c>
      <c r="C234">
        <v>-97.597431</v>
      </c>
      <c r="D234" t="s">
        <v>242</v>
      </c>
      <c r="E234" t="s">
        <v>240</v>
      </c>
      <c r="F234" t="s">
        <v>11</v>
      </c>
      <c r="G234" t="s">
        <v>223</v>
      </c>
      <c r="H234">
        <v>3</v>
      </c>
      <c r="I234" t="s">
        <v>23</v>
      </c>
      <c r="J234" s="4" t="s">
        <v>22</v>
      </c>
      <c r="K234">
        <v>2.9970000000000001E-3</v>
      </c>
      <c r="L234">
        <v>30</v>
      </c>
      <c r="M234" t="s">
        <v>16</v>
      </c>
      <c r="N234" t="s">
        <v>17</v>
      </c>
      <c r="O234" s="3">
        <v>37173</v>
      </c>
      <c r="P234" s="3">
        <v>44446</v>
      </c>
      <c r="Q234" s="1">
        <v>0.99530506849315081</v>
      </c>
      <c r="R234" s="7">
        <v>19.926027397260274</v>
      </c>
      <c r="S234">
        <v>0.06</v>
      </c>
      <c r="T234" s="2">
        <v>0.11971830410958904</v>
      </c>
      <c r="U234" t="s">
        <v>24</v>
      </c>
    </row>
    <row r="235" spans="1:21" hidden="1" x14ac:dyDescent="0.25">
      <c r="A235" t="s">
        <v>70</v>
      </c>
      <c r="B235">
        <v>35.581018999999998</v>
      </c>
      <c r="C235">
        <v>-97.597431</v>
      </c>
      <c r="D235" t="s">
        <v>242</v>
      </c>
      <c r="E235" t="s">
        <v>240</v>
      </c>
      <c r="F235" t="s">
        <v>11</v>
      </c>
      <c r="G235" t="s">
        <v>226</v>
      </c>
      <c r="H235">
        <v>-1</v>
      </c>
      <c r="I235" t="s">
        <v>29</v>
      </c>
      <c r="J235" s="5" t="s">
        <v>28</v>
      </c>
      <c r="K235">
        <v>-0.22209999999999999</v>
      </c>
      <c r="L235">
        <v>25</v>
      </c>
      <c r="M235" t="s">
        <v>16</v>
      </c>
      <c r="N235" t="s">
        <v>17</v>
      </c>
      <c r="O235" s="3">
        <v>37173</v>
      </c>
      <c r="P235" s="3">
        <v>44446</v>
      </c>
      <c r="Q235" s="1">
        <v>-0.49173007610350072</v>
      </c>
      <c r="R235" s="7">
        <v>19.926027397260274</v>
      </c>
      <c r="S235">
        <v>9</v>
      </c>
      <c r="T235" s="2">
        <v>4.5744293150684934</v>
      </c>
      <c r="U235" t="s">
        <v>27</v>
      </c>
    </row>
    <row r="236" spans="1:21" hidden="1" x14ac:dyDescent="0.25">
      <c r="A236" t="s">
        <v>71</v>
      </c>
      <c r="B236">
        <v>35.417046999999997</v>
      </c>
      <c r="C236">
        <v>-95.922617000000002</v>
      </c>
      <c r="D236" t="s">
        <v>91</v>
      </c>
      <c r="E236" t="s">
        <v>240</v>
      </c>
      <c r="F236" t="s">
        <v>11</v>
      </c>
      <c r="G236" t="s">
        <v>221</v>
      </c>
      <c r="H236">
        <v>0</v>
      </c>
      <c r="I236" t="s">
        <v>15</v>
      </c>
      <c r="J236" t="s">
        <v>14</v>
      </c>
      <c r="K236" t="s">
        <v>15</v>
      </c>
      <c r="L236">
        <v>28</v>
      </c>
      <c r="M236" t="s">
        <v>17</v>
      </c>
      <c r="N236" t="s">
        <v>17</v>
      </c>
      <c r="O236" s="3">
        <v>37755</v>
      </c>
      <c r="P236" s="3">
        <v>44831</v>
      </c>
      <c r="Q236" s="1" t="s">
        <v>14</v>
      </c>
      <c r="R236" s="7">
        <v>19.386301369863013</v>
      </c>
      <c r="S236" t="s">
        <v>14</v>
      </c>
      <c r="T236" t="s">
        <v>14</v>
      </c>
      <c r="U236" t="s">
        <v>13</v>
      </c>
    </row>
    <row r="237" spans="1:21" hidden="1" x14ac:dyDescent="0.25">
      <c r="A237" t="s">
        <v>71</v>
      </c>
      <c r="B237">
        <v>35.417046999999997</v>
      </c>
      <c r="C237">
        <v>-95.922617000000002</v>
      </c>
      <c r="D237" t="s">
        <v>91</v>
      </c>
      <c r="E237" t="s">
        <v>240</v>
      </c>
      <c r="F237" t="s">
        <v>11</v>
      </c>
      <c r="G237" t="s">
        <v>222</v>
      </c>
      <c r="H237">
        <v>1</v>
      </c>
      <c r="I237" t="s">
        <v>23</v>
      </c>
      <c r="J237" s="4" t="s">
        <v>40</v>
      </c>
      <c r="K237">
        <v>6.6519999999999999E-3</v>
      </c>
      <c r="L237">
        <v>35</v>
      </c>
      <c r="M237" t="s">
        <v>16</v>
      </c>
      <c r="N237" t="s">
        <v>17</v>
      </c>
      <c r="O237" s="3">
        <v>36440</v>
      </c>
      <c r="P237" s="3">
        <v>44872</v>
      </c>
      <c r="Q237" s="1">
        <v>0.17074479147640795</v>
      </c>
      <c r="R237" s="7">
        <v>23.101369863013698</v>
      </c>
      <c r="S237">
        <v>0.9</v>
      </c>
      <c r="T237" s="2">
        <v>1.0536703123287672</v>
      </c>
      <c r="U237" t="s">
        <v>24</v>
      </c>
    </row>
    <row r="238" spans="1:21" hidden="1" x14ac:dyDescent="0.25">
      <c r="A238" t="s">
        <v>71</v>
      </c>
      <c r="B238">
        <v>35.417046999999997</v>
      </c>
      <c r="C238">
        <v>-95.922617000000002</v>
      </c>
      <c r="D238" t="s">
        <v>91</v>
      </c>
      <c r="E238" t="s">
        <v>240</v>
      </c>
      <c r="F238" t="s">
        <v>11</v>
      </c>
      <c r="G238" t="s">
        <v>224</v>
      </c>
      <c r="H238">
        <v>0</v>
      </c>
      <c r="I238" t="s">
        <v>15</v>
      </c>
      <c r="J238" t="s">
        <v>14</v>
      </c>
      <c r="K238" t="s">
        <v>15</v>
      </c>
      <c r="L238">
        <v>20</v>
      </c>
      <c r="M238" t="s">
        <v>16</v>
      </c>
      <c r="N238" t="s">
        <v>16</v>
      </c>
      <c r="O238" s="3">
        <v>40833</v>
      </c>
      <c r="P238" s="3">
        <v>44831</v>
      </c>
      <c r="Q238" s="1" t="s">
        <v>14</v>
      </c>
      <c r="R238" s="7">
        <v>10.953424657534246</v>
      </c>
      <c r="S238" t="s">
        <v>14</v>
      </c>
      <c r="T238" t="s">
        <v>14</v>
      </c>
      <c r="U238" t="s">
        <v>19</v>
      </c>
    </row>
    <row r="239" spans="1:21" hidden="1" x14ac:dyDescent="0.25">
      <c r="A239" t="s">
        <v>71</v>
      </c>
      <c r="B239">
        <v>35.417046999999997</v>
      </c>
      <c r="C239">
        <v>-95.922617000000002</v>
      </c>
      <c r="D239" t="s">
        <v>91</v>
      </c>
      <c r="E239" t="s">
        <v>240</v>
      </c>
      <c r="F239" t="s">
        <v>11</v>
      </c>
      <c r="G239" t="s">
        <v>225</v>
      </c>
      <c r="H239">
        <v>3</v>
      </c>
      <c r="I239" t="s">
        <v>23</v>
      </c>
      <c r="J239" t="s">
        <v>22</v>
      </c>
      <c r="K239" s="2">
        <v>1.659</v>
      </c>
      <c r="L239">
        <v>29</v>
      </c>
      <c r="M239" t="s">
        <v>16</v>
      </c>
      <c r="N239" t="s">
        <v>16</v>
      </c>
      <c r="O239" s="3">
        <v>36537</v>
      </c>
      <c r="P239" s="3">
        <v>44872</v>
      </c>
      <c r="Q239" s="1">
        <v>0.58283519494204417</v>
      </c>
      <c r="R239" s="7">
        <v>22.835616438356166</v>
      </c>
      <c r="S239">
        <v>65</v>
      </c>
      <c r="T239" s="2">
        <v>102.88428767123287</v>
      </c>
      <c r="U239" t="s">
        <v>21</v>
      </c>
    </row>
    <row r="240" spans="1:21" hidden="1" x14ac:dyDescent="0.25">
      <c r="A240" t="s">
        <v>71</v>
      </c>
      <c r="B240">
        <v>35.417046999999997</v>
      </c>
      <c r="C240">
        <v>-95.922617000000002</v>
      </c>
      <c r="D240" t="s">
        <v>91</v>
      </c>
      <c r="E240" t="s">
        <v>240</v>
      </c>
      <c r="F240" t="s">
        <v>11</v>
      </c>
      <c r="G240" t="s">
        <v>223</v>
      </c>
      <c r="H240">
        <v>0</v>
      </c>
      <c r="I240" t="s">
        <v>15</v>
      </c>
      <c r="J240" t="s">
        <v>14</v>
      </c>
      <c r="K240" t="s">
        <v>15</v>
      </c>
      <c r="L240">
        <v>36</v>
      </c>
      <c r="M240" t="s">
        <v>33</v>
      </c>
      <c r="N240" t="s">
        <v>16</v>
      </c>
      <c r="O240" s="3">
        <v>36440</v>
      </c>
      <c r="P240" s="3">
        <v>44831</v>
      </c>
      <c r="Q240" s="1" t="s">
        <v>14</v>
      </c>
      <c r="R240" s="7">
        <v>22.989041095890411</v>
      </c>
      <c r="S240" t="s">
        <v>14</v>
      </c>
      <c r="T240" t="s">
        <v>14</v>
      </c>
      <c r="U240" t="s">
        <v>24</v>
      </c>
    </row>
    <row r="241" spans="1:21" hidden="1" x14ac:dyDescent="0.25">
      <c r="A241" t="s">
        <v>71</v>
      </c>
      <c r="B241">
        <v>35.417046999999997</v>
      </c>
      <c r="C241">
        <v>-95.922617000000002</v>
      </c>
      <c r="D241" t="s">
        <v>91</v>
      </c>
      <c r="E241" t="s">
        <v>240</v>
      </c>
      <c r="F241" t="s">
        <v>11</v>
      </c>
      <c r="G241" t="s">
        <v>226</v>
      </c>
      <c r="H241">
        <v>0</v>
      </c>
      <c r="I241" t="s">
        <v>15</v>
      </c>
      <c r="J241" t="s">
        <v>14</v>
      </c>
      <c r="K241" t="s">
        <v>15</v>
      </c>
      <c r="L241">
        <v>23</v>
      </c>
      <c r="M241" t="s">
        <v>16</v>
      </c>
      <c r="N241" t="s">
        <v>16</v>
      </c>
      <c r="O241" s="3">
        <v>38306</v>
      </c>
      <c r="P241" s="3">
        <v>44831</v>
      </c>
      <c r="Q241" s="1" t="s">
        <v>14</v>
      </c>
      <c r="R241" s="7">
        <v>17.876712328767123</v>
      </c>
      <c r="S241" t="s">
        <v>14</v>
      </c>
      <c r="T241" t="s">
        <v>14</v>
      </c>
      <c r="U241" t="s">
        <v>27</v>
      </c>
    </row>
    <row r="242" spans="1:21" hidden="1" x14ac:dyDescent="0.25">
      <c r="A242" t="s">
        <v>72</v>
      </c>
      <c r="B242">
        <v>35.949350000000003</v>
      </c>
      <c r="C242">
        <v>-96.297858000000005</v>
      </c>
      <c r="D242" t="s">
        <v>265</v>
      </c>
      <c r="E242" t="s">
        <v>240</v>
      </c>
      <c r="F242" t="s">
        <v>11</v>
      </c>
      <c r="G242" t="s">
        <v>221</v>
      </c>
      <c r="H242">
        <v>2</v>
      </c>
      <c r="I242" t="s">
        <v>23</v>
      </c>
      <c r="J242" s="5" t="s">
        <v>38</v>
      </c>
      <c r="K242">
        <v>0.28910000000000002</v>
      </c>
      <c r="L242">
        <v>28</v>
      </c>
      <c r="M242" t="s">
        <v>16</v>
      </c>
      <c r="N242" t="s">
        <v>17</v>
      </c>
      <c r="O242" s="3">
        <v>37762</v>
      </c>
      <c r="P242" s="3">
        <v>44486</v>
      </c>
      <c r="Q242" s="1">
        <v>0.96832298879203005</v>
      </c>
      <c r="R242" s="7">
        <v>18.421917808219177</v>
      </c>
      <c r="S242">
        <v>5.5</v>
      </c>
      <c r="T242" s="2">
        <v>10.825776438356165</v>
      </c>
      <c r="U242" t="s">
        <v>13</v>
      </c>
    </row>
    <row r="243" spans="1:21" hidden="1" x14ac:dyDescent="0.25">
      <c r="A243" t="s">
        <v>72</v>
      </c>
      <c r="B243">
        <v>35.949350000000003</v>
      </c>
      <c r="C243">
        <v>-96.297858000000005</v>
      </c>
      <c r="D243" t="s">
        <v>265</v>
      </c>
      <c r="E243" t="s">
        <v>240</v>
      </c>
      <c r="F243" t="s">
        <v>11</v>
      </c>
      <c r="G243" t="s">
        <v>222</v>
      </c>
      <c r="H243">
        <v>3</v>
      </c>
      <c r="I243" t="s">
        <v>23</v>
      </c>
      <c r="J243" s="4" t="s">
        <v>22</v>
      </c>
      <c r="K243">
        <v>1.4189999999999999E-2</v>
      </c>
      <c r="L243">
        <v>33</v>
      </c>
      <c r="M243" t="s">
        <v>16</v>
      </c>
      <c r="N243" t="s">
        <v>17</v>
      </c>
      <c r="O243" s="3">
        <v>36481</v>
      </c>
      <c r="P243" s="3">
        <v>44453</v>
      </c>
      <c r="Q243" s="1">
        <v>0.47680792413066386</v>
      </c>
      <c r="R243" s="7">
        <v>21.841095890410958</v>
      </c>
      <c r="S243">
        <v>0.65</v>
      </c>
      <c r="T243" s="2">
        <v>0.95992515068493156</v>
      </c>
      <c r="U243" t="s">
        <v>24</v>
      </c>
    </row>
    <row r="244" spans="1:21" hidden="1" x14ac:dyDescent="0.25">
      <c r="A244" t="s">
        <v>72</v>
      </c>
      <c r="B244">
        <v>35.949350000000003</v>
      </c>
      <c r="C244">
        <v>-96.297858000000005</v>
      </c>
      <c r="D244" t="s">
        <v>265</v>
      </c>
      <c r="E244" t="s">
        <v>240</v>
      </c>
      <c r="F244" t="s">
        <v>11</v>
      </c>
      <c r="G244" t="s">
        <v>224</v>
      </c>
      <c r="H244">
        <v>0</v>
      </c>
      <c r="I244" t="s">
        <v>15</v>
      </c>
      <c r="J244" t="s">
        <v>14</v>
      </c>
      <c r="K244" t="s">
        <v>15</v>
      </c>
      <c r="L244">
        <v>21</v>
      </c>
      <c r="M244" t="s">
        <v>16</v>
      </c>
      <c r="N244" t="s">
        <v>17</v>
      </c>
      <c r="O244" s="3">
        <v>40149</v>
      </c>
      <c r="P244" s="3">
        <v>44453</v>
      </c>
      <c r="Q244" s="1" t="s">
        <v>14</v>
      </c>
      <c r="R244" s="7">
        <v>11.791780821917808</v>
      </c>
      <c r="S244" t="s">
        <v>14</v>
      </c>
      <c r="T244" t="s">
        <v>14</v>
      </c>
      <c r="U244" t="s">
        <v>19</v>
      </c>
    </row>
    <row r="245" spans="1:21" hidden="1" x14ac:dyDescent="0.25">
      <c r="A245" t="s">
        <v>72</v>
      </c>
      <c r="B245">
        <v>35.949350000000003</v>
      </c>
      <c r="C245">
        <v>-96.297858000000005</v>
      </c>
      <c r="D245" t="s">
        <v>265</v>
      </c>
      <c r="E245" t="s">
        <v>240</v>
      </c>
      <c r="F245" t="s">
        <v>11</v>
      </c>
      <c r="G245" t="s">
        <v>225</v>
      </c>
      <c r="H245">
        <v>3</v>
      </c>
      <c r="I245" t="s">
        <v>23</v>
      </c>
      <c r="J245" t="s">
        <v>22</v>
      </c>
      <c r="K245" s="2">
        <v>3.673</v>
      </c>
      <c r="L245">
        <v>34</v>
      </c>
      <c r="M245" t="s">
        <v>16</v>
      </c>
      <c r="N245" t="s">
        <v>33</v>
      </c>
      <c r="O245" s="3">
        <v>36481</v>
      </c>
      <c r="P245" s="3">
        <v>44453</v>
      </c>
      <c r="Q245" s="1">
        <v>0.47189614826752624</v>
      </c>
      <c r="R245" s="7">
        <v>21.841095890410958</v>
      </c>
      <c r="S245">
        <v>170</v>
      </c>
      <c r="T245" s="2">
        <v>250.22234520547946</v>
      </c>
      <c r="U245" t="s">
        <v>21</v>
      </c>
    </row>
    <row r="246" spans="1:21" hidden="1" x14ac:dyDescent="0.25">
      <c r="A246" t="s">
        <v>72</v>
      </c>
      <c r="B246">
        <v>35.949350000000003</v>
      </c>
      <c r="C246">
        <v>-96.297858000000005</v>
      </c>
      <c r="D246" t="s">
        <v>265</v>
      </c>
      <c r="E246" t="s">
        <v>240</v>
      </c>
      <c r="F246" t="s">
        <v>11</v>
      </c>
      <c r="G246" t="s">
        <v>223</v>
      </c>
      <c r="H246">
        <v>0</v>
      </c>
      <c r="I246" t="s">
        <v>15</v>
      </c>
      <c r="J246" t="s">
        <v>14</v>
      </c>
      <c r="K246" t="s">
        <v>15</v>
      </c>
      <c r="L246">
        <v>33</v>
      </c>
      <c r="M246" t="s">
        <v>16</v>
      </c>
      <c r="N246" t="s">
        <v>17</v>
      </c>
      <c r="O246" s="3">
        <v>36481</v>
      </c>
      <c r="P246" s="3">
        <v>44453</v>
      </c>
      <c r="Q246" s="1" t="s">
        <v>14</v>
      </c>
      <c r="R246" s="7">
        <v>21.841095890410958</v>
      </c>
      <c r="S246" t="s">
        <v>14</v>
      </c>
      <c r="T246" t="s">
        <v>14</v>
      </c>
      <c r="U246" t="s">
        <v>24</v>
      </c>
    </row>
    <row r="247" spans="1:21" hidden="1" x14ac:dyDescent="0.25">
      <c r="A247" t="s">
        <v>72</v>
      </c>
      <c r="B247">
        <v>35.949350000000003</v>
      </c>
      <c r="C247">
        <v>-96.297858000000005</v>
      </c>
      <c r="D247" t="s">
        <v>265</v>
      </c>
      <c r="E247" t="s">
        <v>240</v>
      </c>
      <c r="F247" t="s">
        <v>11</v>
      </c>
      <c r="G247" t="s">
        <v>226</v>
      </c>
      <c r="H247">
        <v>0</v>
      </c>
      <c r="I247" t="s">
        <v>15</v>
      </c>
      <c r="J247" t="s">
        <v>14</v>
      </c>
      <c r="K247" t="s">
        <v>15</v>
      </c>
      <c r="L247">
        <v>25</v>
      </c>
      <c r="M247" t="s">
        <v>16</v>
      </c>
      <c r="N247" t="s">
        <v>17</v>
      </c>
      <c r="O247" s="3">
        <v>38278</v>
      </c>
      <c r="P247" s="3">
        <v>44453</v>
      </c>
      <c r="Q247" s="1" t="s">
        <v>14</v>
      </c>
      <c r="R247" s="7">
        <v>16.917808219178081</v>
      </c>
      <c r="S247" t="s">
        <v>14</v>
      </c>
      <c r="T247" t="s">
        <v>14</v>
      </c>
      <c r="U247" t="s">
        <v>27</v>
      </c>
    </row>
    <row r="248" spans="1:21" hidden="1" x14ac:dyDescent="0.25">
      <c r="A248" t="s">
        <v>73</v>
      </c>
      <c r="B248">
        <v>35.028506</v>
      </c>
      <c r="C248">
        <v>-96.368464000000003</v>
      </c>
      <c r="D248" t="s">
        <v>266</v>
      </c>
      <c r="E248" t="s">
        <v>240</v>
      </c>
      <c r="F248" t="s">
        <v>11</v>
      </c>
      <c r="G248" t="s">
        <v>221</v>
      </c>
      <c r="H248">
        <v>1</v>
      </c>
      <c r="I248" t="s">
        <v>23</v>
      </c>
      <c r="J248" s="5" t="s">
        <v>40</v>
      </c>
      <c r="K248">
        <v>0.26800000000000002</v>
      </c>
      <c r="L248">
        <v>25</v>
      </c>
      <c r="M248" t="s">
        <v>33</v>
      </c>
      <c r="N248" t="s">
        <v>17</v>
      </c>
      <c r="O248" s="3">
        <v>37895</v>
      </c>
      <c r="P248" s="3">
        <v>44895</v>
      </c>
      <c r="Q248" s="1">
        <v>0.46724782067247811</v>
      </c>
      <c r="R248" s="7">
        <v>19.17808219178082</v>
      </c>
      <c r="S248">
        <v>11</v>
      </c>
      <c r="T248" s="2">
        <v>16.139726027397259</v>
      </c>
      <c r="U248" t="s">
        <v>13</v>
      </c>
    </row>
    <row r="249" spans="1:21" hidden="1" x14ac:dyDescent="0.25">
      <c r="A249" t="s">
        <v>73</v>
      </c>
      <c r="B249">
        <v>35.028506</v>
      </c>
      <c r="C249">
        <v>-96.368464000000003</v>
      </c>
      <c r="D249" t="s">
        <v>266</v>
      </c>
      <c r="E249" t="s">
        <v>240</v>
      </c>
      <c r="F249" t="s">
        <v>11</v>
      </c>
      <c r="G249" t="s">
        <v>222</v>
      </c>
      <c r="H249">
        <v>3</v>
      </c>
      <c r="I249" t="s">
        <v>23</v>
      </c>
      <c r="J249" s="4" t="s">
        <v>22</v>
      </c>
      <c r="K249">
        <v>1.1610000000000001E-2</v>
      </c>
      <c r="L249">
        <v>28</v>
      </c>
      <c r="M249" t="s">
        <v>16</v>
      </c>
      <c r="N249" t="s">
        <v>16</v>
      </c>
      <c r="O249" s="3">
        <v>37187</v>
      </c>
      <c r="P249" s="3">
        <v>44895</v>
      </c>
      <c r="Q249" s="1">
        <v>0.32690367123287672</v>
      </c>
      <c r="R249" s="7">
        <v>21.117808219178084</v>
      </c>
      <c r="S249">
        <v>0.75</v>
      </c>
      <c r="T249" s="2">
        <v>0.99517775342465753</v>
      </c>
      <c r="U249" t="s">
        <v>24</v>
      </c>
    </row>
    <row r="250" spans="1:21" hidden="1" x14ac:dyDescent="0.25">
      <c r="A250" t="s">
        <v>73</v>
      </c>
      <c r="B250">
        <v>35.028506</v>
      </c>
      <c r="C250">
        <v>-96.368464000000003</v>
      </c>
      <c r="D250" t="s">
        <v>266</v>
      </c>
      <c r="E250" t="s">
        <v>240</v>
      </c>
      <c r="F250" t="s">
        <v>11</v>
      </c>
      <c r="G250" t="s">
        <v>224</v>
      </c>
      <c r="H250">
        <v>-1</v>
      </c>
      <c r="I250" t="s">
        <v>29</v>
      </c>
      <c r="J250" s="4" t="s">
        <v>28</v>
      </c>
      <c r="K250">
        <v>-1.5569999999999999</v>
      </c>
      <c r="L250">
        <v>25</v>
      </c>
      <c r="M250" t="s">
        <v>33</v>
      </c>
      <c r="N250" t="s">
        <v>17</v>
      </c>
      <c r="O250" s="3">
        <v>37187</v>
      </c>
      <c r="P250" s="3">
        <v>44895</v>
      </c>
      <c r="Q250" s="1">
        <v>-0.46972039138943256</v>
      </c>
      <c r="R250" s="7">
        <v>21.117808219178084</v>
      </c>
      <c r="S250">
        <v>70</v>
      </c>
      <c r="T250" s="2">
        <v>37.119572602739723</v>
      </c>
      <c r="U250" t="s">
        <v>19</v>
      </c>
    </row>
    <row r="251" spans="1:21" hidden="1" x14ac:dyDescent="0.25">
      <c r="A251" t="s">
        <v>73</v>
      </c>
      <c r="B251">
        <v>35.028506</v>
      </c>
      <c r="C251">
        <v>-96.368464000000003</v>
      </c>
      <c r="D251" t="s">
        <v>266</v>
      </c>
      <c r="E251" t="s">
        <v>240</v>
      </c>
      <c r="F251" t="s">
        <v>11</v>
      </c>
      <c r="G251" t="s">
        <v>225</v>
      </c>
      <c r="H251">
        <v>3</v>
      </c>
      <c r="I251" t="s">
        <v>23</v>
      </c>
      <c r="J251" t="s">
        <v>22</v>
      </c>
      <c r="K251" s="2">
        <v>3.9409999999999998</v>
      </c>
      <c r="L251">
        <v>27</v>
      </c>
      <c r="M251" t="s">
        <v>16</v>
      </c>
      <c r="N251" t="s">
        <v>16</v>
      </c>
      <c r="O251" s="3">
        <v>37187</v>
      </c>
      <c r="P251" s="3">
        <v>44869</v>
      </c>
      <c r="Q251" s="1">
        <v>0.53512615112682271</v>
      </c>
      <c r="R251" s="7">
        <v>21.046575342465754</v>
      </c>
      <c r="S251">
        <v>155</v>
      </c>
      <c r="T251" s="2">
        <v>237.94455342465753</v>
      </c>
      <c r="U251" t="s">
        <v>21</v>
      </c>
    </row>
    <row r="252" spans="1:21" hidden="1" x14ac:dyDescent="0.25">
      <c r="A252" t="s">
        <v>73</v>
      </c>
      <c r="B252">
        <v>35.028506</v>
      </c>
      <c r="C252">
        <v>-96.368464000000003</v>
      </c>
      <c r="D252" t="s">
        <v>266</v>
      </c>
      <c r="E252" t="s">
        <v>240</v>
      </c>
      <c r="F252" t="s">
        <v>11</v>
      </c>
      <c r="G252" t="s">
        <v>223</v>
      </c>
      <c r="H252">
        <v>0</v>
      </c>
      <c r="I252" t="s">
        <v>15</v>
      </c>
      <c r="J252" t="s">
        <v>14</v>
      </c>
      <c r="K252" t="s">
        <v>15</v>
      </c>
      <c r="L252">
        <v>22</v>
      </c>
      <c r="M252" t="s">
        <v>16</v>
      </c>
      <c r="N252" t="s">
        <v>16</v>
      </c>
      <c r="O252" s="3">
        <v>37187</v>
      </c>
      <c r="P252" s="3">
        <v>44895</v>
      </c>
      <c r="Q252" s="1" t="s">
        <v>14</v>
      </c>
      <c r="R252" s="7">
        <v>21.117808219178084</v>
      </c>
      <c r="S252" t="s">
        <v>14</v>
      </c>
      <c r="T252" t="s">
        <v>14</v>
      </c>
      <c r="U252" t="s">
        <v>24</v>
      </c>
    </row>
    <row r="253" spans="1:21" hidden="1" x14ac:dyDescent="0.25">
      <c r="A253" t="s">
        <v>73</v>
      </c>
      <c r="B253">
        <v>35.028506</v>
      </c>
      <c r="C253">
        <v>-96.368464000000003</v>
      </c>
      <c r="D253" t="s">
        <v>266</v>
      </c>
      <c r="E253" t="s">
        <v>240</v>
      </c>
      <c r="F253" t="s">
        <v>11</v>
      </c>
      <c r="G253" t="s">
        <v>226</v>
      </c>
      <c r="H253">
        <v>0</v>
      </c>
      <c r="I253" t="s">
        <v>15</v>
      </c>
      <c r="J253" t="s">
        <v>14</v>
      </c>
      <c r="K253" t="s">
        <v>15</v>
      </c>
      <c r="L253">
        <v>26</v>
      </c>
      <c r="M253" t="s">
        <v>33</v>
      </c>
      <c r="N253" t="s">
        <v>17</v>
      </c>
      <c r="O253" s="3">
        <v>37187</v>
      </c>
      <c r="P253" s="3">
        <v>44895</v>
      </c>
      <c r="Q253" s="1" t="s">
        <v>14</v>
      </c>
      <c r="R253" s="7">
        <v>21.117808219178084</v>
      </c>
      <c r="S253" t="s">
        <v>14</v>
      </c>
      <c r="T253" t="s">
        <v>14</v>
      </c>
      <c r="U253" t="s">
        <v>27</v>
      </c>
    </row>
    <row r="254" spans="1:21" hidden="1" x14ac:dyDescent="0.25">
      <c r="A254" t="s">
        <v>74</v>
      </c>
      <c r="B254">
        <v>36.408811</v>
      </c>
      <c r="C254">
        <v>-96.415092000000001</v>
      </c>
      <c r="D254" t="s">
        <v>244</v>
      </c>
      <c r="E254" t="s">
        <v>240</v>
      </c>
      <c r="F254" t="s">
        <v>11</v>
      </c>
      <c r="G254" t="s">
        <v>221</v>
      </c>
      <c r="H254">
        <v>0</v>
      </c>
      <c r="I254" t="s">
        <v>15</v>
      </c>
      <c r="J254" t="s">
        <v>14</v>
      </c>
      <c r="K254" t="s">
        <v>15</v>
      </c>
      <c r="L254">
        <v>20</v>
      </c>
      <c r="M254" t="s">
        <v>16</v>
      </c>
      <c r="N254" t="s">
        <v>33</v>
      </c>
      <c r="O254" s="3">
        <v>37886</v>
      </c>
      <c r="P254" s="3">
        <v>43312</v>
      </c>
      <c r="Q254" s="1" t="s">
        <v>14</v>
      </c>
      <c r="R254" s="7">
        <v>14.865753424657534</v>
      </c>
      <c r="S254" t="s">
        <v>14</v>
      </c>
      <c r="T254" t="s">
        <v>14</v>
      </c>
      <c r="U254" t="s">
        <v>13</v>
      </c>
    </row>
    <row r="255" spans="1:21" hidden="1" x14ac:dyDescent="0.25">
      <c r="A255" t="s">
        <v>74</v>
      </c>
      <c r="B255">
        <v>36.408811</v>
      </c>
      <c r="C255">
        <v>-96.415092000000001</v>
      </c>
      <c r="D255" t="s">
        <v>244</v>
      </c>
      <c r="E255" t="s">
        <v>240</v>
      </c>
      <c r="F255" t="s">
        <v>11</v>
      </c>
      <c r="G255" t="s">
        <v>222</v>
      </c>
      <c r="H255">
        <v>-1</v>
      </c>
      <c r="I255" t="s">
        <v>29</v>
      </c>
      <c r="J255" s="4" t="s">
        <v>28</v>
      </c>
      <c r="K255">
        <v>-9.4540000000000006E-3</v>
      </c>
      <c r="L255">
        <v>22</v>
      </c>
      <c r="M255" t="s">
        <v>31</v>
      </c>
      <c r="N255" t="s">
        <v>16</v>
      </c>
      <c r="O255" s="3">
        <v>35913</v>
      </c>
      <c r="P255" s="3">
        <v>43348</v>
      </c>
      <c r="Q255" s="1">
        <v>-0.26023876342095531</v>
      </c>
      <c r="R255" s="7">
        <v>20.36986301369863</v>
      </c>
      <c r="S255">
        <v>0.74</v>
      </c>
      <c r="T255" s="2">
        <v>0.54742331506849307</v>
      </c>
      <c r="U255" t="s">
        <v>24</v>
      </c>
    </row>
    <row r="256" spans="1:21" hidden="1" x14ac:dyDescent="0.25">
      <c r="A256" t="s">
        <v>74</v>
      </c>
      <c r="B256">
        <v>36.408811</v>
      </c>
      <c r="C256">
        <v>-96.415092000000001</v>
      </c>
      <c r="D256" t="s">
        <v>244</v>
      </c>
      <c r="E256" t="s">
        <v>240</v>
      </c>
      <c r="F256" t="s">
        <v>11</v>
      </c>
      <c r="G256" t="s">
        <v>224</v>
      </c>
      <c r="H256">
        <v>0</v>
      </c>
      <c r="I256" t="s">
        <v>15</v>
      </c>
      <c r="J256" t="s">
        <v>14</v>
      </c>
      <c r="K256" t="s">
        <v>15</v>
      </c>
      <c r="L256">
        <v>17</v>
      </c>
      <c r="M256" t="s">
        <v>17</v>
      </c>
      <c r="N256" t="s">
        <v>31</v>
      </c>
      <c r="O256" s="3">
        <v>37186</v>
      </c>
      <c r="P256" s="3">
        <v>43312</v>
      </c>
      <c r="Q256" s="1" t="s">
        <v>14</v>
      </c>
      <c r="R256" s="7">
        <v>16.783561643835615</v>
      </c>
      <c r="S256" t="s">
        <v>14</v>
      </c>
      <c r="T256" t="s">
        <v>14</v>
      </c>
      <c r="U256" t="s">
        <v>19</v>
      </c>
    </row>
    <row r="257" spans="1:21" hidden="1" x14ac:dyDescent="0.25">
      <c r="A257" t="s">
        <v>74</v>
      </c>
      <c r="B257">
        <v>36.408811</v>
      </c>
      <c r="C257">
        <v>-96.415092000000001</v>
      </c>
      <c r="D257" t="s">
        <v>244</v>
      </c>
      <c r="E257" t="s">
        <v>240</v>
      </c>
      <c r="F257" t="s">
        <v>11</v>
      </c>
      <c r="G257" t="s">
        <v>223</v>
      </c>
      <c r="H257">
        <v>0</v>
      </c>
      <c r="I257" t="s">
        <v>15</v>
      </c>
      <c r="J257" t="s">
        <v>14</v>
      </c>
      <c r="K257" t="s">
        <v>15</v>
      </c>
      <c r="L257">
        <v>22</v>
      </c>
      <c r="M257" t="s">
        <v>31</v>
      </c>
      <c r="N257" t="s">
        <v>16</v>
      </c>
      <c r="O257" s="3">
        <v>35913</v>
      </c>
      <c r="P257" s="3">
        <v>43312</v>
      </c>
      <c r="Q257" s="1" t="s">
        <v>14</v>
      </c>
      <c r="R257" s="7">
        <v>20.271232876712329</v>
      </c>
      <c r="S257" t="s">
        <v>14</v>
      </c>
      <c r="T257" t="s">
        <v>14</v>
      </c>
      <c r="U257" t="s">
        <v>24</v>
      </c>
    </row>
    <row r="258" spans="1:21" hidden="1" x14ac:dyDescent="0.25">
      <c r="A258" t="s">
        <v>74</v>
      </c>
      <c r="B258">
        <v>36.408811</v>
      </c>
      <c r="C258">
        <v>-96.415092000000001</v>
      </c>
      <c r="D258" t="s">
        <v>244</v>
      </c>
      <c r="E258" t="s">
        <v>240</v>
      </c>
      <c r="F258" t="s">
        <v>11</v>
      </c>
      <c r="G258" t="s">
        <v>226</v>
      </c>
      <c r="H258">
        <v>0</v>
      </c>
      <c r="I258" t="s">
        <v>15</v>
      </c>
      <c r="J258" t="s">
        <v>14</v>
      </c>
      <c r="K258" t="s">
        <v>15</v>
      </c>
      <c r="L258">
        <v>19</v>
      </c>
      <c r="M258" t="s">
        <v>17</v>
      </c>
      <c r="N258" t="s">
        <v>17</v>
      </c>
      <c r="O258" s="3">
        <v>37186</v>
      </c>
      <c r="P258" s="3">
        <v>43312</v>
      </c>
      <c r="Q258" s="1" t="s">
        <v>14</v>
      </c>
      <c r="R258" s="7">
        <v>16.783561643835615</v>
      </c>
      <c r="S258" t="s">
        <v>14</v>
      </c>
      <c r="T258" t="s">
        <v>14</v>
      </c>
      <c r="U258" t="s">
        <v>27</v>
      </c>
    </row>
    <row r="259" spans="1:21" hidden="1" x14ac:dyDescent="0.25">
      <c r="A259" s="5" t="s">
        <v>206</v>
      </c>
      <c r="B259">
        <v>36.806283000000001</v>
      </c>
      <c r="C259">
        <v>-96.034283000000002</v>
      </c>
      <c r="D259" t="s">
        <v>244</v>
      </c>
      <c r="E259" t="s">
        <v>240</v>
      </c>
      <c r="F259" t="s">
        <v>11</v>
      </c>
      <c r="G259" t="s">
        <v>221</v>
      </c>
      <c r="H259">
        <v>0</v>
      </c>
      <c r="I259" t="s">
        <v>15</v>
      </c>
      <c r="J259" s="5" t="s">
        <v>14</v>
      </c>
      <c r="K259" t="s">
        <v>15</v>
      </c>
      <c r="L259" s="5">
        <v>17</v>
      </c>
      <c r="M259" s="5" t="s">
        <v>31</v>
      </c>
      <c r="N259" s="5" t="s">
        <v>17</v>
      </c>
      <c r="O259" s="3">
        <v>37893</v>
      </c>
      <c r="P259" s="3">
        <v>42933</v>
      </c>
      <c r="Q259" s="1" t="s">
        <v>14</v>
      </c>
      <c r="R259" s="7">
        <v>13.808219178082192</v>
      </c>
      <c r="S259" t="s">
        <v>14</v>
      </c>
      <c r="T259" t="s">
        <v>14</v>
      </c>
      <c r="U259" t="s">
        <v>13</v>
      </c>
    </row>
    <row r="260" spans="1:21" hidden="1" x14ac:dyDescent="0.25">
      <c r="A260" s="5" t="s">
        <v>206</v>
      </c>
      <c r="B260">
        <v>36.806283000000001</v>
      </c>
      <c r="C260">
        <v>-96.034283000000002</v>
      </c>
      <c r="D260" t="s">
        <v>244</v>
      </c>
      <c r="E260" t="s">
        <v>240</v>
      </c>
      <c r="F260" t="s">
        <v>11</v>
      </c>
      <c r="G260" t="s">
        <v>222</v>
      </c>
      <c r="H260">
        <v>0</v>
      </c>
      <c r="I260" t="s">
        <v>15</v>
      </c>
      <c r="J260" s="5" t="s">
        <v>14</v>
      </c>
      <c r="K260" t="s">
        <v>15</v>
      </c>
      <c r="L260" s="6">
        <v>26</v>
      </c>
      <c r="M260" s="5" t="s">
        <v>16</v>
      </c>
      <c r="N260" s="5" t="s">
        <v>16</v>
      </c>
      <c r="O260" s="3">
        <v>36088</v>
      </c>
      <c r="P260" s="3">
        <v>42933</v>
      </c>
      <c r="Q260" s="1" t="s">
        <v>14</v>
      </c>
      <c r="R260" s="7">
        <v>18.753424657534246</v>
      </c>
      <c r="S260" t="s">
        <v>14</v>
      </c>
      <c r="T260" t="s">
        <v>14</v>
      </c>
      <c r="U260" t="s">
        <v>24</v>
      </c>
    </row>
    <row r="261" spans="1:21" hidden="1" x14ac:dyDescent="0.25">
      <c r="A261" s="5" t="s">
        <v>206</v>
      </c>
      <c r="B261">
        <v>36.806283000000001</v>
      </c>
      <c r="C261">
        <v>-96.034283000000002</v>
      </c>
      <c r="D261" t="s">
        <v>244</v>
      </c>
      <c r="E261" t="s">
        <v>240</v>
      </c>
      <c r="F261" t="s">
        <v>11</v>
      </c>
      <c r="G261" t="s">
        <v>224</v>
      </c>
      <c r="H261">
        <v>0</v>
      </c>
      <c r="I261" t="s">
        <v>15</v>
      </c>
      <c r="J261" s="5" t="s">
        <v>14</v>
      </c>
      <c r="K261" t="s">
        <v>15</v>
      </c>
      <c r="L261" s="5">
        <v>18</v>
      </c>
      <c r="M261" s="5" t="s">
        <v>16</v>
      </c>
      <c r="N261" s="5" t="s">
        <v>16</v>
      </c>
      <c r="O261" s="3">
        <v>37284</v>
      </c>
      <c r="P261" s="3">
        <v>42933</v>
      </c>
      <c r="Q261" s="1" t="s">
        <v>14</v>
      </c>
      <c r="R261" s="7">
        <v>15.476712328767123</v>
      </c>
      <c r="S261" t="s">
        <v>14</v>
      </c>
      <c r="T261" t="s">
        <v>14</v>
      </c>
      <c r="U261" t="s">
        <v>19</v>
      </c>
    </row>
    <row r="262" spans="1:21" hidden="1" x14ac:dyDescent="0.25">
      <c r="A262" s="5" t="s">
        <v>206</v>
      </c>
      <c r="B262">
        <v>36.806283000000001</v>
      </c>
      <c r="C262">
        <v>-96.034283000000002</v>
      </c>
      <c r="D262" t="s">
        <v>244</v>
      </c>
      <c r="E262" t="s">
        <v>240</v>
      </c>
      <c r="F262" t="s">
        <v>11</v>
      </c>
      <c r="G262" t="s">
        <v>225</v>
      </c>
      <c r="H262">
        <v>0</v>
      </c>
      <c r="I262" t="s">
        <v>15</v>
      </c>
      <c r="J262" t="s">
        <v>14</v>
      </c>
      <c r="K262" s="2" t="s">
        <v>15</v>
      </c>
      <c r="L262">
        <v>26</v>
      </c>
      <c r="M262" t="s">
        <v>17</v>
      </c>
      <c r="N262" t="s">
        <v>17</v>
      </c>
      <c r="O262" s="3">
        <v>35913</v>
      </c>
      <c r="P262" s="3">
        <v>42933</v>
      </c>
      <c r="Q262" s="1" t="s">
        <v>14</v>
      </c>
      <c r="R262" s="7">
        <v>19.232876712328768</v>
      </c>
      <c r="S262" t="s">
        <v>14</v>
      </c>
      <c r="T262" t="s">
        <v>14</v>
      </c>
      <c r="U262" t="s">
        <v>21</v>
      </c>
    </row>
    <row r="263" spans="1:21" hidden="1" x14ac:dyDescent="0.25">
      <c r="A263" s="5" t="s">
        <v>206</v>
      </c>
      <c r="B263">
        <v>36.806283000000001</v>
      </c>
      <c r="C263">
        <v>-96.034283000000002</v>
      </c>
      <c r="D263" t="s">
        <v>244</v>
      </c>
      <c r="E263" t="s">
        <v>240</v>
      </c>
      <c r="F263" t="s">
        <v>11</v>
      </c>
      <c r="G263" t="s">
        <v>223</v>
      </c>
      <c r="H263">
        <v>0</v>
      </c>
      <c r="I263" t="s">
        <v>15</v>
      </c>
      <c r="J263" s="5" t="s">
        <v>14</v>
      </c>
      <c r="K263" t="s">
        <v>15</v>
      </c>
      <c r="L263" s="6">
        <v>24</v>
      </c>
      <c r="M263" s="5" t="s">
        <v>31</v>
      </c>
      <c r="N263" s="5" t="s">
        <v>31</v>
      </c>
      <c r="O263" s="3">
        <v>36088</v>
      </c>
      <c r="P263" s="3">
        <v>42933</v>
      </c>
      <c r="Q263" s="1" t="s">
        <v>14</v>
      </c>
      <c r="R263" s="7">
        <v>18.753424657534246</v>
      </c>
      <c r="S263" t="s">
        <v>14</v>
      </c>
      <c r="T263" t="s">
        <v>14</v>
      </c>
      <c r="U263" t="s">
        <v>24</v>
      </c>
    </row>
    <row r="264" spans="1:21" hidden="1" x14ac:dyDescent="0.25">
      <c r="A264" s="5" t="s">
        <v>206</v>
      </c>
      <c r="B264">
        <v>36.806283000000001</v>
      </c>
      <c r="C264">
        <v>-96.034283000000002</v>
      </c>
      <c r="D264" t="s">
        <v>244</v>
      </c>
      <c r="E264" t="s">
        <v>240</v>
      </c>
      <c r="F264" t="s">
        <v>11</v>
      </c>
      <c r="G264" t="s">
        <v>226</v>
      </c>
      <c r="H264">
        <v>0</v>
      </c>
      <c r="I264" t="s">
        <v>15</v>
      </c>
      <c r="J264" s="5" t="s">
        <v>14</v>
      </c>
      <c r="K264" t="s">
        <v>15</v>
      </c>
      <c r="L264" s="5">
        <v>18</v>
      </c>
      <c r="M264" s="5" t="s">
        <v>33</v>
      </c>
      <c r="N264" s="5" t="s">
        <v>17</v>
      </c>
      <c r="O264" s="3">
        <v>37284</v>
      </c>
      <c r="P264" s="3">
        <v>42933</v>
      </c>
      <c r="Q264" s="1" t="s">
        <v>14</v>
      </c>
      <c r="R264" s="7">
        <v>15.476712328767123</v>
      </c>
      <c r="S264" t="s">
        <v>14</v>
      </c>
      <c r="T264" t="s">
        <v>14</v>
      </c>
      <c r="U264" t="s">
        <v>27</v>
      </c>
    </row>
    <row r="265" spans="1:21" hidden="1" x14ac:dyDescent="0.25">
      <c r="A265" t="s">
        <v>75</v>
      </c>
      <c r="B265">
        <v>34.012039000000001</v>
      </c>
      <c r="C265">
        <v>-95.383302999999998</v>
      </c>
      <c r="D265" t="s">
        <v>267</v>
      </c>
      <c r="E265" t="s">
        <v>240</v>
      </c>
      <c r="F265" t="s">
        <v>11</v>
      </c>
      <c r="G265" t="s">
        <v>221</v>
      </c>
      <c r="H265">
        <v>0</v>
      </c>
      <c r="I265" t="s">
        <v>15</v>
      </c>
      <c r="J265" t="s">
        <v>14</v>
      </c>
      <c r="K265" t="s">
        <v>15</v>
      </c>
      <c r="L265">
        <v>31</v>
      </c>
      <c r="M265" t="s">
        <v>16</v>
      </c>
      <c r="N265" t="s">
        <v>16</v>
      </c>
      <c r="O265" s="3">
        <v>37746</v>
      </c>
      <c r="P265" s="3">
        <v>43900</v>
      </c>
      <c r="Q265" s="1" t="s">
        <v>14</v>
      </c>
      <c r="R265" s="7">
        <v>16.860273972602741</v>
      </c>
      <c r="S265" t="s">
        <v>14</v>
      </c>
      <c r="T265" t="s">
        <v>14</v>
      </c>
      <c r="U265" t="s">
        <v>13</v>
      </c>
    </row>
    <row r="266" spans="1:21" hidden="1" x14ac:dyDescent="0.25">
      <c r="A266" t="s">
        <v>75</v>
      </c>
      <c r="B266">
        <v>34.012039000000001</v>
      </c>
      <c r="C266">
        <v>-95.383302999999998</v>
      </c>
      <c r="D266" t="s">
        <v>267</v>
      </c>
      <c r="E266" t="s">
        <v>240</v>
      </c>
      <c r="F266" t="s">
        <v>11</v>
      </c>
      <c r="G266" t="s">
        <v>222</v>
      </c>
      <c r="H266">
        <v>2</v>
      </c>
      <c r="I266" t="s">
        <v>23</v>
      </c>
      <c r="J266" s="4" t="s">
        <v>38</v>
      </c>
      <c r="K266">
        <v>6.6740000000000002E-3</v>
      </c>
      <c r="L266">
        <v>30</v>
      </c>
      <c r="M266" t="s">
        <v>16</v>
      </c>
      <c r="N266" t="s">
        <v>16</v>
      </c>
      <c r="O266" s="3">
        <v>36485</v>
      </c>
      <c r="P266" s="3">
        <v>43937</v>
      </c>
      <c r="Q266" s="1">
        <v>0.24774419925280197</v>
      </c>
      <c r="R266" s="7">
        <v>20.416438356164385</v>
      </c>
      <c r="S266">
        <v>0.55000000000000004</v>
      </c>
      <c r="T266" s="2">
        <v>0.68625930958904113</v>
      </c>
      <c r="U266" t="s">
        <v>24</v>
      </c>
    </row>
    <row r="267" spans="1:21" hidden="1" x14ac:dyDescent="0.25">
      <c r="A267" t="s">
        <v>75</v>
      </c>
      <c r="B267">
        <v>34.012039000000001</v>
      </c>
      <c r="C267">
        <v>-95.383302999999998</v>
      </c>
      <c r="D267" t="s">
        <v>267</v>
      </c>
      <c r="E267" t="s">
        <v>240</v>
      </c>
      <c r="F267" t="s">
        <v>11</v>
      </c>
      <c r="G267" t="s">
        <v>224</v>
      </c>
      <c r="H267">
        <v>0</v>
      </c>
      <c r="I267" t="s">
        <v>15</v>
      </c>
      <c r="J267" t="s">
        <v>14</v>
      </c>
      <c r="K267" t="s">
        <v>15</v>
      </c>
      <c r="L267">
        <v>21</v>
      </c>
      <c r="M267" t="s">
        <v>31</v>
      </c>
      <c r="N267" t="s">
        <v>16</v>
      </c>
      <c r="O267" s="3">
        <v>40141</v>
      </c>
      <c r="P267" s="3">
        <v>43900</v>
      </c>
      <c r="Q267" s="1" t="s">
        <v>14</v>
      </c>
      <c r="R267" s="7">
        <v>10.298630136986301</v>
      </c>
      <c r="S267" t="s">
        <v>14</v>
      </c>
      <c r="T267" t="s">
        <v>14</v>
      </c>
      <c r="U267" t="s">
        <v>19</v>
      </c>
    </row>
    <row r="268" spans="1:21" hidden="1" x14ac:dyDescent="0.25">
      <c r="A268" t="s">
        <v>75</v>
      </c>
      <c r="B268">
        <v>34.012039000000001</v>
      </c>
      <c r="C268">
        <v>-95.383302999999998</v>
      </c>
      <c r="D268" t="s">
        <v>267</v>
      </c>
      <c r="E268" t="s">
        <v>240</v>
      </c>
      <c r="F268" t="s">
        <v>11</v>
      </c>
      <c r="G268" t="s">
        <v>225</v>
      </c>
      <c r="H268">
        <v>3</v>
      </c>
      <c r="I268" t="s">
        <v>23</v>
      </c>
      <c r="J268" t="s">
        <v>22</v>
      </c>
      <c r="K268" s="2">
        <v>1.1779999999999999</v>
      </c>
      <c r="L268">
        <v>33</v>
      </c>
      <c r="M268" t="s">
        <v>16</v>
      </c>
      <c r="N268" t="s">
        <v>17</v>
      </c>
      <c r="O268" s="3">
        <v>36485</v>
      </c>
      <c r="P268" s="3">
        <v>43900</v>
      </c>
      <c r="Q268" s="1">
        <v>0.53180334855403355</v>
      </c>
      <c r="R268" s="7">
        <v>20.315068493150687</v>
      </c>
      <c r="S268">
        <v>45</v>
      </c>
      <c r="T268" s="2">
        <v>68.931150684931509</v>
      </c>
      <c r="U268" t="s">
        <v>21</v>
      </c>
    </row>
    <row r="269" spans="1:21" hidden="1" x14ac:dyDescent="0.25">
      <c r="A269" t="s">
        <v>75</v>
      </c>
      <c r="B269">
        <v>34.012039000000001</v>
      </c>
      <c r="C269">
        <v>-95.383302999999998</v>
      </c>
      <c r="D269" t="s">
        <v>267</v>
      </c>
      <c r="E269" t="s">
        <v>240</v>
      </c>
      <c r="F269" t="s">
        <v>11</v>
      </c>
      <c r="G269" t="s">
        <v>223</v>
      </c>
      <c r="H269">
        <v>0</v>
      </c>
      <c r="I269" t="s">
        <v>15</v>
      </c>
      <c r="J269" t="s">
        <v>14</v>
      </c>
      <c r="K269" t="s">
        <v>15</v>
      </c>
      <c r="L269">
        <v>35</v>
      </c>
      <c r="M269" t="s">
        <v>16</v>
      </c>
      <c r="N269" t="s">
        <v>17</v>
      </c>
      <c r="O269" s="3">
        <v>36485</v>
      </c>
      <c r="P269" s="3">
        <v>43900</v>
      </c>
      <c r="Q269" s="1" t="s">
        <v>14</v>
      </c>
      <c r="R269" s="7">
        <v>20.315068493150687</v>
      </c>
      <c r="S269" t="s">
        <v>14</v>
      </c>
      <c r="T269" t="s">
        <v>14</v>
      </c>
      <c r="U269" t="s">
        <v>24</v>
      </c>
    </row>
    <row r="270" spans="1:21" hidden="1" x14ac:dyDescent="0.25">
      <c r="A270" t="s">
        <v>75</v>
      </c>
      <c r="B270">
        <v>34.012039000000001</v>
      </c>
      <c r="C270">
        <v>-95.383302999999998</v>
      </c>
      <c r="D270" t="s">
        <v>267</v>
      </c>
      <c r="E270" t="s">
        <v>240</v>
      </c>
      <c r="F270" t="s">
        <v>11</v>
      </c>
      <c r="G270" t="s">
        <v>226</v>
      </c>
      <c r="H270">
        <v>0</v>
      </c>
      <c r="I270" t="s">
        <v>15</v>
      </c>
      <c r="J270" t="s">
        <v>14</v>
      </c>
      <c r="K270" t="s">
        <v>15</v>
      </c>
      <c r="L270">
        <v>25</v>
      </c>
      <c r="M270" t="s">
        <v>16</v>
      </c>
      <c r="N270" t="s">
        <v>31</v>
      </c>
      <c r="O270" s="3">
        <v>38299</v>
      </c>
      <c r="P270" s="3">
        <v>43900</v>
      </c>
      <c r="Q270" s="1" t="s">
        <v>14</v>
      </c>
      <c r="R270" s="7">
        <v>15.345205479452055</v>
      </c>
      <c r="S270" t="s">
        <v>14</v>
      </c>
      <c r="T270" t="s">
        <v>14</v>
      </c>
      <c r="U270" t="s">
        <v>27</v>
      </c>
    </row>
    <row r="271" spans="1:21" hidden="1" x14ac:dyDescent="0.25">
      <c r="A271" t="s">
        <v>76</v>
      </c>
      <c r="B271">
        <v>36.930563999999997</v>
      </c>
      <c r="C271">
        <v>-96.090208000000004</v>
      </c>
      <c r="D271" t="s">
        <v>244</v>
      </c>
      <c r="E271" t="s">
        <v>240</v>
      </c>
      <c r="F271" t="s">
        <v>11</v>
      </c>
      <c r="G271" t="s">
        <v>221</v>
      </c>
      <c r="H271">
        <v>0</v>
      </c>
      <c r="I271" t="s">
        <v>15</v>
      </c>
      <c r="J271" t="s">
        <v>14</v>
      </c>
      <c r="K271" t="s">
        <v>15</v>
      </c>
      <c r="L271">
        <v>30</v>
      </c>
      <c r="M271" t="s">
        <v>16</v>
      </c>
      <c r="N271" t="s">
        <v>17</v>
      </c>
      <c r="O271" s="3">
        <v>37788</v>
      </c>
      <c r="P271" s="3">
        <v>43689</v>
      </c>
      <c r="Q271" s="1" t="s">
        <v>14</v>
      </c>
      <c r="R271" s="7">
        <v>16.167123287671235</v>
      </c>
      <c r="S271" t="s">
        <v>14</v>
      </c>
      <c r="T271" t="s">
        <v>14</v>
      </c>
      <c r="U271" t="s">
        <v>13</v>
      </c>
    </row>
    <row r="272" spans="1:21" hidden="1" x14ac:dyDescent="0.25">
      <c r="A272" t="s">
        <v>76</v>
      </c>
      <c r="B272">
        <v>36.930563999999997</v>
      </c>
      <c r="C272">
        <v>-96.090208000000004</v>
      </c>
      <c r="D272" t="s">
        <v>244</v>
      </c>
      <c r="E272" t="s">
        <v>240</v>
      </c>
      <c r="F272" t="s">
        <v>11</v>
      </c>
      <c r="G272" t="s">
        <v>222</v>
      </c>
      <c r="H272">
        <v>2</v>
      </c>
      <c r="I272" t="s">
        <v>23</v>
      </c>
      <c r="J272" s="5" t="s">
        <v>38</v>
      </c>
      <c r="K272">
        <v>9.0170000000000007E-3</v>
      </c>
      <c r="L272">
        <v>30</v>
      </c>
      <c r="M272" t="s">
        <v>16</v>
      </c>
      <c r="N272" t="s">
        <v>17</v>
      </c>
      <c r="O272" s="3">
        <v>36450</v>
      </c>
      <c r="P272" s="3">
        <v>43725</v>
      </c>
      <c r="Q272" s="1">
        <v>0.27649599578503681</v>
      </c>
      <c r="R272" s="7">
        <v>19.931506849315067</v>
      </c>
      <c r="S272">
        <v>0.65</v>
      </c>
      <c r="T272" s="2">
        <v>0.82972239726027397</v>
      </c>
      <c r="U272" t="s">
        <v>24</v>
      </c>
    </row>
    <row r="273" spans="1:21" hidden="1" x14ac:dyDescent="0.25">
      <c r="A273" t="s">
        <v>76</v>
      </c>
      <c r="B273">
        <v>36.930563999999997</v>
      </c>
      <c r="C273">
        <v>-96.090208000000004</v>
      </c>
      <c r="D273" t="s">
        <v>244</v>
      </c>
      <c r="E273" t="s">
        <v>240</v>
      </c>
      <c r="F273" t="s">
        <v>11</v>
      </c>
      <c r="G273" t="s">
        <v>224</v>
      </c>
      <c r="H273">
        <v>0</v>
      </c>
      <c r="I273" t="s">
        <v>15</v>
      </c>
      <c r="J273" t="s">
        <v>14</v>
      </c>
      <c r="K273" t="s">
        <v>15</v>
      </c>
      <c r="L273">
        <v>20</v>
      </c>
      <c r="M273" t="s">
        <v>16</v>
      </c>
      <c r="N273" t="s">
        <v>31</v>
      </c>
      <c r="O273" s="3">
        <v>40849</v>
      </c>
      <c r="P273" s="3">
        <v>47342</v>
      </c>
      <c r="Q273" s="1" t="s">
        <v>14</v>
      </c>
      <c r="R273" s="7">
        <v>17.789041095890411</v>
      </c>
      <c r="S273" t="s">
        <v>14</v>
      </c>
      <c r="T273" t="s">
        <v>14</v>
      </c>
      <c r="U273" t="s">
        <v>19</v>
      </c>
    </row>
    <row r="274" spans="1:21" hidden="1" x14ac:dyDescent="0.25">
      <c r="A274" t="s">
        <v>76</v>
      </c>
      <c r="B274">
        <v>36.930563999999997</v>
      </c>
      <c r="C274">
        <v>-96.090208000000004</v>
      </c>
      <c r="D274" t="s">
        <v>244</v>
      </c>
      <c r="E274" t="s">
        <v>240</v>
      </c>
      <c r="F274" t="s">
        <v>11</v>
      </c>
      <c r="G274" t="s">
        <v>225</v>
      </c>
      <c r="H274">
        <v>0</v>
      </c>
      <c r="I274" t="s">
        <v>15</v>
      </c>
      <c r="J274" t="s">
        <v>14</v>
      </c>
      <c r="K274" s="2" t="s">
        <v>15</v>
      </c>
      <c r="L274">
        <v>31</v>
      </c>
      <c r="M274" t="s">
        <v>16</v>
      </c>
      <c r="N274" t="s">
        <v>17</v>
      </c>
      <c r="O274" s="3">
        <v>36450</v>
      </c>
      <c r="P274" s="3">
        <v>43689</v>
      </c>
      <c r="Q274" s="1" t="s">
        <v>14</v>
      </c>
      <c r="R274" s="7">
        <v>19.832876712328765</v>
      </c>
      <c r="S274" t="s">
        <v>14</v>
      </c>
      <c r="T274" t="s">
        <v>14</v>
      </c>
      <c r="U274" t="s">
        <v>21</v>
      </c>
    </row>
    <row r="275" spans="1:21" hidden="1" x14ac:dyDescent="0.25">
      <c r="A275" t="s">
        <v>76</v>
      </c>
      <c r="B275">
        <v>36.930563999999997</v>
      </c>
      <c r="C275">
        <v>-96.090208000000004</v>
      </c>
      <c r="D275" t="s">
        <v>244</v>
      </c>
      <c r="E275" t="s">
        <v>240</v>
      </c>
      <c r="F275" t="s">
        <v>11</v>
      </c>
      <c r="G275" t="s">
        <v>223</v>
      </c>
      <c r="H275">
        <v>0</v>
      </c>
      <c r="I275" t="s">
        <v>15</v>
      </c>
      <c r="J275" t="s">
        <v>14</v>
      </c>
      <c r="K275" t="s">
        <v>15</v>
      </c>
      <c r="L275">
        <v>33</v>
      </c>
      <c r="M275" t="s">
        <v>17</v>
      </c>
      <c r="N275" t="s">
        <v>17</v>
      </c>
      <c r="O275" s="3">
        <v>36450</v>
      </c>
      <c r="P275" s="3">
        <v>43689</v>
      </c>
      <c r="Q275" s="1" t="s">
        <v>14</v>
      </c>
      <c r="R275" s="7">
        <v>19.832876712328765</v>
      </c>
      <c r="S275" t="s">
        <v>14</v>
      </c>
      <c r="T275" t="s">
        <v>14</v>
      </c>
      <c r="U275" t="s">
        <v>24</v>
      </c>
    </row>
    <row r="276" spans="1:21" hidden="1" x14ac:dyDescent="0.25">
      <c r="A276" t="s">
        <v>76</v>
      </c>
      <c r="B276">
        <v>36.930563999999997</v>
      </c>
      <c r="C276">
        <v>-96.090208000000004</v>
      </c>
      <c r="D276" t="s">
        <v>244</v>
      </c>
      <c r="E276" t="s">
        <v>240</v>
      </c>
      <c r="F276" t="s">
        <v>11</v>
      </c>
      <c r="G276" t="s">
        <v>226</v>
      </c>
      <c r="H276">
        <v>0</v>
      </c>
      <c r="I276" t="s">
        <v>15</v>
      </c>
      <c r="J276" t="s">
        <v>14</v>
      </c>
      <c r="K276" t="s">
        <v>15</v>
      </c>
      <c r="L276">
        <v>24</v>
      </c>
      <c r="M276" t="s">
        <v>17</v>
      </c>
      <c r="N276" t="s">
        <v>17</v>
      </c>
      <c r="O276" s="3">
        <v>38285</v>
      </c>
      <c r="P276" s="3">
        <v>43689</v>
      </c>
      <c r="Q276" s="1" t="s">
        <v>14</v>
      </c>
      <c r="R276" s="7">
        <v>14.805479452054794</v>
      </c>
      <c r="S276" t="s">
        <v>14</v>
      </c>
      <c r="T276" t="s">
        <v>14</v>
      </c>
      <c r="U276" t="s">
        <v>27</v>
      </c>
    </row>
    <row r="277" spans="1:21" hidden="1" x14ac:dyDescent="0.25">
      <c r="A277" t="s">
        <v>77</v>
      </c>
      <c r="B277">
        <v>34.586666999999998</v>
      </c>
      <c r="C277">
        <v>-97.885278</v>
      </c>
      <c r="D277" t="s">
        <v>251</v>
      </c>
      <c r="E277" t="s">
        <v>240</v>
      </c>
      <c r="F277" t="s">
        <v>11</v>
      </c>
      <c r="G277" t="s">
        <v>221</v>
      </c>
      <c r="H277">
        <v>0</v>
      </c>
      <c r="I277" t="s">
        <v>15</v>
      </c>
      <c r="J277" t="s">
        <v>14</v>
      </c>
      <c r="K277" t="s">
        <v>15</v>
      </c>
      <c r="L277">
        <v>30</v>
      </c>
      <c r="M277" t="s">
        <v>16</v>
      </c>
      <c r="N277" t="s">
        <v>17</v>
      </c>
      <c r="O277" s="3">
        <v>37580</v>
      </c>
      <c r="P277" s="3">
        <v>43655</v>
      </c>
      <c r="Q277" s="1" t="s">
        <v>14</v>
      </c>
      <c r="R277" s="7">
        <v>16.643835616438356</v>
      </c>
      <c r="S277" t="s">
        <v>14</v>
      </c>
      <c r="T277" t="s">
        <v>14</v>
      </c>
      <c r="U277" t="s">
        <v>13</v>
      </c>
    </row>
    <row r="278" spans="1:21" hidden="1" x14ac:dyDescent="0.25">
      <c r="A278" t="s">
        <v>77</v>
      </c>
      <c r="B278">
        <v>34.586666999999998</v>
      </c>
      <c r="C278">
        <v>-97.885278</v>
      </c>
      <c r="D278" t="s">
        <v>251</v>
      </c>
      <c r="E278" t="s">
        <v>240</v>
      </c>
      <c r="F278" t="s">
        <v>11</v>
      </c>
      <c r="G278" t="s">
        <v>222</v>
      </c>
      <c r="H278">
        <v>0</v>
      </c>
      <c r="I278" t="s">
        <v>15</v>
      </c>
      <c r="J278" t="s">
        <v>14</v>
      </c>
      <c r="K278" t="s">
        <v>15</v>
      </c>
      <c r="L278">
        <v>37</v>
      </c>
      <c r="M278" t="s">
        <v>33</v>
      </c>
      <c r="N278" t="s">
        <v>17</v>
      </c>
      <c r="O278" s="3">
        <v>36836</v>
      </c>
      <c r="P278" s="3">
        <v>43655</v>
      </c>
      <c r="Q278" s="1" t="s">
        <v>14</v>
      </c>
      <c r="R278" s="7">
        <v>18.682191780821917</v>
      </c>
      <c r="S278" t="s">
        <v>14</v>
      </c>
      <c r="T278" t="s">
        <v>14</v>
      </c>
      <c r="U278" t="s">
        <v>24</v>
      </c>
    </row>
    <row r="279" spans="1:21" hidden="1" x14ac:dyDescent="0.25">
      <c r="A279" t="s">
        <v>77</v>
      </c>
      <c r="B279">
        <v>34.586666999999998</v>
      </c>
      <c r="C279">
        <v>-97.885278</v>
      </c>
      <c r="D279" t="s">
        <v>251</v>
      </c>
      <c r="E279" t="s">
        <v>240</v>
      </c>
      <c r="F279" t="s">
        <v>11</v>
      </c>
      <c r="G279" t="s">
        <v>224</v>
      </c>
      <c r="H279">
        <v>0</v>
      </c>
      <c r="I279" t="s">
        <v>15</v>
      </c>
      <c r="J279" t="s">
        <v>14</v>
      </c>
      <c r="K279" t="s">
        <v>15</v>
      </c>
      <c r="L279">
        <v>22</v>
      </c>
      <c r="M279" t="s">
        <v>17</v>
      </c>
      <c r="N279" t="s">
        <v>33</v>
      </c>
      <c r="O279" s="3">
        <v>36836</v>
      </c>
      <c r="P279" s="3">
        <v>43655</v>
      </c>
      <c r="Q279" s="1" t="s">
        <v>14</v>
      </c>
      <c r="R279" s="7">
        <v>18.682191780821917</v>
      </c>
      <c r="S279" t="s">
        <v>14</v>
      </c>
      <c r="T279" t="s">
        <v>14</v>
      </c>
      <c r="U279" t="s">
        <v>19</v>
      </c>
    </row>
    <row r="280" spans="1:21" hidden="1" x14ac:dyDescent="0.25">
      <c r="A280" t="s">
        <v>77</v>
      </c>
      <c r="B280">
        <v>34.586666999999998</v>
      </c>
      <c r="C280">
        <v>-97.885278</v>
      </c>
      <c r="D280" t="s">
        <v>251</v>
      </c>
      <c r="E280" t="s">
        <v>240</v>
      </c>
      <c r="F280" t="s">
        <v>11</v>
      </c>
      <c r="G280" t="s">
        <v>225</v>
      </c>
      <c r="H280">
        <v>3</v>
      </c>
      <c r="I280" t="s">
        <v>23</v>
      </c>
      <c r="J280" t="s">
        <v>22</v>
      </c>
      <c r="K280" s="2">
        <v>6.1280000000000001</v>
      </c>
      <c r="L280">
        <v>40</v>
      </c>
      <c r="M280" t="s">
        <v>16</v>
      </c>
      <c r="N280" t="s">
        <v>16</v>
      </c>
      <c r="O280" s="3">
        <v>36836</v>
      </c>
      <c r="P280" s="3">
        <v>45257</v>
      </c>
      <c r="Q280" s="1">
        <v>0.25705548194271488</v>
      </c>
      <c r="R280" s="7">
        <v>23.07123287671233</v>
      </c>
      <c r="S280">
        <v>550</v>
      </c>
      <c r="T280" s="2">
        <v>691.3805150684932</v>
      </c>
      <c r="U280" t="s">
        <v>21</v>
      </c>
    </row>
    <row r="281" spans="1:21" hidden="1" x14ac:dyDescent="0.25">
      <c r="A281" t="s">
        <v>77</v>
      </c>
      <c r="B281">
        <v>34.586666999999998</v>
      </c>
      <c r="C281">
        <v>-97.885278</v>
      </c>
      <c r="D281" t="s">
        <v>251</v>
      </c>
      <c r="E281" t="s">
        <v>240</v>
      </c>
      <c r="F281" t="s">
        <v>11</v>
      </c>
      <c r="G281" t="s">
        <v>223</v>
      </c>
      <c r="H281">
        <v>-1</v>
      </c>
      <c r="I281" t="s">
        <v>29</v>
      </c>
      <c r="J281" s="4" t="s">
        <v>28</v>
      </c>
      <c r="K281">
        <v>-5.1599999999999997E-4</v>
      </c>
      <c r="L281">
        <v>35</v>
      </c>
      <c r="M281" t="s">
        <v>16</v>
      </c>
      <c r="N281" t="s">
        <v>16</v>
      </c>
      <c r="O281" s="3">
        <v>36836</v>
      </c>
      <c r="P281" s="3">
        <v>43655</v>
      </c>
      <c r="Q281" s="1">
        <v>-0.19280021917808213</v>
      </c>
      <c r="R281" s="7">
        <v>18.682191780821917</v>
      </c>
      <c r="S281">
        <v>0.05</v>
      </c>
      <c r="T281" s="2">
        <v>4.0359989041095896E-2</v>
      </c>
      <c r="U281" t="s">
        <v>24</v>
      </c>
    </row>
    <row r="282" spans="1:21" hidden="1" x14ac:dyDescent="0.25">
      <c r="A282" t="s">
        <v>77</v>
      </c>
      <c r="B282">
        <v>34.586666999999998</v>
      </c>
      <c r="C282">
        <v>-97.885278</v>
      </c>
      <c r="D282" t="s">
        <v>251</v>
      </c>
      <c r="E282" t="s">
        <v>240</v>
      </c>
      <c r="F282" t="s">
        <v>11</v>
      </c>
      <c r="G282" t="s">
        <v>226</v>
      </c>
      <c r="H282">
        <v>-2</v>
      </c>
      <c r="I282" t="s">
        <v>29</v>
      </c>
      <c r="J282" s="4" t="s">
        <v>34</v>
      </c>
      <c r="K282">
        <v>-0.14929999999999999</v>
      </c>
      <c r="L282">
        <v>30</v>
      </c>
      <c r="M282" t="s">
        <v>31</v>
      </c>
      <c r="N282" t="s">
        <v>17</v>
      </c>
      <c r="O282" s="3">
        <v>36836</v>
      </c>
      <c r="P282" s="3">
        <v>43655</v>
      </c>
      <c r="Q282" s="1">
        <v>-0.25356829389788288</v>
      </c>
      <c r="R282" s="7">
        <v>18.682191780821917</v>
      </c>
      <c r="S282">
        <v>11</v>
      </c>
      <c r="T282" s="2">
        <v>8.2107487671232882</v>
      </c>
      <c r="U282" t="s">
        <v>27</v>
      </c>
    </row>
    <row r="283" spans="1:21" hidden="1" x14ac:dyDescent="0.25">
      <c r="A283" t="s">
        <v>78</v>
      </c>
      <c r="B283">
        <v>34.282578000000001</v>
      </c>
      <c r="C283">
        <v>-97.167721999999998</v>
      </c>
      <c r="D283" t="s">
        <v>268</v>
      </c>
      <c r="E283" t="s">
        <v>240</v>
      </c>
      <c r="F283" t="s">
        <v>11</v>
      </c>
      <c r="G283" t="s">
        <v>221</v>
      </c>
      <c r="H283">
        <v>2</v>
      </c>
      <c r="I283" t="s">
        <v>23</v>
      </c>
      <c r="J283" s="5" t="s">
        <v>38</v>
      </c>
      <c r="K283">
        <v>0.64790000000000003</v>
      </c>
      <c r="L283">
        <v>18</v>
      </c>
      <c r="M283" t="s">
        <v>16</v>
      </c>
      <c r="N283" t="s">
        <v>17</v>
      </c>
      <c r="O283" s="3">
        <v>37586</v>
      </c>
      <c r="P283" s="3">
        <v>43009</v>
      </c>
      <c r="Q283" s="1">
        <v>1.0695773820395742</v>
      </c>
      <c r="R283" s="7">
        <v>14.857534246575343</v>
      </c>
      <c r="S283">
        <v>9</v>
      </c>
      <c r="T283" s="2">
        <v>18.626196438356168</v>
      </c>
      <c r="U283" t="s">
        <v>13</v>
      </c>
    </row>
    <row r="284" spans="1:21" hidden="1" x14ac:dyDescent="0.25">
      <c r="A284" t="s">
        <v>78</v>
      </c>
      <c r="B284">
        <v>34.282578000000001</v>
      </c>
      <c r="C284">
        <v>-97.167721999999998</v>
      </c>
      <c r="D284" t="s">
        <v>268</v>
      </c>
      <c r="E284" t="s">
        <v>240</v>
      </c>
      <c r="F284" t="s">
        <v>11</v>
      </c>
      <c r="G284" t="s">
        <v>222</v>
      </c>
      <c r="H284">
        <v>3</v>
      </c>
      <c r="I284" t="s">
        <v>23</v>
      </c>
      <c r="J284" s="4" t="s">
        <v>22</v>
      </c>
      <c r="K284">
        <v>3.0700000000000002E-2</v>
      </c>
      <c r="L284">
        <v>23</v>
      </c>
      <c r="M284" t="s">
        <v>16</v>
      </c>
      <c r="N284" t="s">
        <v>17</v>
      </c>
      <c r="O284" s="3">
        <v>36850</v>
      </c>
      <c r="P284" s="3">
        <v>42983</v>
      </c>
      <c r="Q284" s="1">
        <v>1.0316882191780823</v>
      </c>
      <c r="R284" s="7">
        <v>16.802739726027397</v>
      </c>
      <c r="S284">
        <v>0.5</v>
      </c>
      <c r="T284" s="2">
        <v>1.0158441095890411</v>
      </c>
      <c r="U284" t="s">
        <v>24</v>
      </c>
    </row>
    <row r="285" spans="1:21" hidden="1" x14ac:dyDescent="0.25">
      <c r="A285" t="s">
        <v>78</v>
      </c>
      <c r="B285">
        <v>34.282578000000001</v>
      </c>
      <c r="C285">
        <v>-97.167721999999998</v>
      </c>
      <c r="D285" t="s">
        <v>268</v>
      </c>
      <c r="E285" t="s">
        <v>240</v>
      </c>
      <c r="F285" t="s">
        <v>11</v>
      </c>
      <c r="G285" t="s">
        <v>224</v>
      </c>
      <c r="H285">
        <v>99</v>
      </c>
      <c r="I285" t="s">
        <v>15</v>
      </c>
      <c r="J285" t="s">
        <v>186</v>
      </c>
      <c r="K285" t="s">
        <v>15</v>
      </c>
      <c r="L285">
        <v>14</v>
      </c>
      <c r="M285" t="s">
        <v>17</v>
      </c>
      <c r="N285" t="s">
        <v>16</v>
      </c>
      <c r="O285" s="3" t="s">
        <v>186</v>
      </c>
      <c r="P285" s="3" t="s">
        <v>186</v>
      </c>
      <c r="Q285" s="1" t="s">
        <v>186</v>
      </c>
      <c r="R285" s="7" t="s">
        <v>186</v>
      </c>
      <c r="S285" t="s">
        <v>186</v>
      </c>
      <c r="T285" t="s">
        <v>186</v>
      </c>
      <c r="U285" t="s">
        <v>19</v>
      </c>
    </row>
    <row r="286" spans="1:21" hidden="1" x14ac:dyDescent="0.25">
      <c r="A286" t="s">
        <v>78</v>
      </c>
      <c r="B286">
        <v>34.282578000000001</v>
      </c>
      <c r="C286">
        <v>-97.167721999999998</v>
      </c>
      <c r="D286" t="s">
        <v>268</v>
      </c>
      <c r="E286" t="s">
        <v>240</v>
      </c>
      <c r="F286" t="s">
        <v>11</v>
      </c>
      <c r="G286" t="s">
        <v>225</v>
      </c>
      <c r="H286">
        <v>0</v>
      </c>
      <c r="I286" t="s">
        <v>15</v>
      </c>
      <c r="J286" t="s">
        <v>14</v>
      </c>
      <c r="K286" s="2" t="s">
        <v>15</v>
      </c>
      <c r="L286">
        <v>24</v>
      </c>
      <c r="M286" t="s">
        <v>16</v>
      </c>
      <c r="N286" t="s">
        <v>17</v>
      </c>
      <c r="O286" s="3">
        <v>36850</v>
      </c>
      <c r="P286" s="3">
        <v>42983</v>
      </c>
      <c r="Q286" s="1" t="s">
        <v>14</v>
      </c>
      <c r="R286" s="7">
        <v>16.802739726027397</v>
      </c>
      <c r="S286" t="s">
        <v>14</v>
      </c>
      <c r="T286" t="s">
        <v>14</v>
      </c>
      <c r="U286" t="s">
        <v>21</v>
      </c>
    </row>
    <row r="287" spans="1:21" hidden="1" x14ac:dyDescent="0.25">
      <c r="A287" t="s">
        <v>78</v>
      </c>
      <c r="B287">
        <v>34.282578000000001</v>
      </c>
      <c r="C287">
        <v>-97.167721999999998</v>
      </c>
      <c r="D287" t="s">
        <v>268</v>
      </c>
      <c r="E287" t="s">
        <v>240</v>
      </c>
      <c r="F287" t="s">
        <v>11</v>
      </c>
      <c r="G287" t="s">
        <v>223</v>
      </c>
      <c r="H287">
        <v>0</v>
      </c>
      <c r="I287" t="s">
        <v>15</v>
      </c>
      <c r="J287" t="s">
        <v>14</v>
      </c>
      <c r="K287" t="s">
        <v>15</v>
      </c>
      <c r="L287">
        <v>23</v>
      </c>
      <c r="M287" t="s">
        <v>16</v>
      </c>
      <c r="N287" t="s">
        <v>16</v>
      </c>
      <c r="O287" s="3">
        <v>36850</v>
      </c>
      <c r="P287" s="3">
        <v>42983</v>
      </c>
      <c r="Q287" s="1" t="s">
        <v>14</v>
      </c>
      <c r="R287" s="7">
        <v>16.802739726027397</v>
      </c>
      <c r="S287" t="s">
        <v>14</v>
      </c>
      <c r="T287" t="s">
        <v>14</v>
      </c>
      <c r="U287" t="s">
        <v>24</v>
      </c>
    </row>
    <row r="288" spans="1:21" hidden="1" x14ac:dyDescent="0.25">
      <c r="A288" t="s">
        <v>78</v>
      </c>
      <c r="B288">
        <v>34.282578000000001</v>
      </c>
      <c r="C288">
        <v>-97.167721999999998</v>
      </c>
      <c r="D288" t="s">
        <v>268</v>
      </c>
      <c r="E288" t="s">
        <v>240</v>
      </c>
      <c r="F288" t="s">
        <v>11</v>
      </c>
      <c r="G288" t="s">
        <v>226</v>
      </c>
      <c r="H288">
        <v>0</v>
      </c>
      <c r="I288" t="s">
        <v>15</v>
      </c>
      <c r="J288" t="s">
        <v>14</v>
      </c>
      <c r="K288" t="s">
        <v>15</v>
      </c>
      <c r="L288">
        <v>20</v>
      </c>
      <c r="M288" t="s">
        <v>17</v>
      </c>
      <c r="N288" t="s">
        <v>17</v>
      </c>
      <c r="O288" s="3">
        <v>36850</v>
      </c>
      <c r="P288" s="3">
        <v>42983</v>
      </c>
      <c r="Q288" s="1" t="s">
        <v>14</v>
      </c>
      <c r="R288" s="7">
        <v>16.802739726027397</v>
      </c>
      <c r="S288" t="s">
        <v>14</v>
      </c>
      <c r="T288" t="s">
        <v>14</v>
      </c>
      <c r="U288" t="s">
        <v>27</v>
      </c>
    </row>
    <row r="289" spans="1:21" hidden="1" x14ac:dyDescent="0.25">
      <c r="A289" t="s">
        <v>79</v>
      </c>
      <c r="B289">
        <v>35.226618999999999</v>
      </c>
      <c r="C289">
        <v>-95.096738999999999</v>
      </c>
      <c r="D289" t="s">
        <v>257</v>
      </c>
      <c r="E289" t="s">
        <v>240</v>
      </c>
      <c r="F289" t="s">
        <v>11</v>
      </c>
      <c r="G289" t="s">
        <v>221</v>
      </c>
      <c r="H289">
        <v>0</v>
      </c>
      <c r="I289" t="s">
        <v>15</v>
      </c>
      <c r="J289" t="s">
        <v>14</v>
      </c>
      <c r="K289" t="s">
        <v>15</v>
      </c>
      <c r="L289">
        <v>15</v>
      </c>
      <c r="M289" t="s">
        <v>16</v>
      </c>
      <c r="N289" t="s">
        <v>17</v>
      </c>
      <c r="O289" s="3">
        <v>37879</v>
      </c>
      <c r="P289" s="3">
        <v>42955</v>
      </c>
      <c r="Q289" s="1" t="s">
        <v>14</v>
      </c>
      <c r="R289" s="7">
        <v>13.906849315068493</v>
      </c>
      <c r="S289" t="s">
        <v>14</v>
      </c>
      <c r="T289" t="s">
        <v>14</v>
      </c>
      <c r="U289" t="s">
        <v>13</v>
      </c>
    </row>
    <row r="290" spans="1:21" hidden="1" x14ac:dyDescent="0.25">
      <c r="A290" t="s">
        <v>79</v>
      </c>
      <c r="B290">
        <v>35.226618999999999</v>
      </c>
      <c r="C290">
        <v>-95.096738999999999</v>
      </c>
      <c r="D290" t="s">
        <v>257</v>
      </c>
      <c r="E290" t="s">
        <v>240</v>
      </c>
      <c r="F290" t="s">
        <v>11</v>
      </c>
      <c r="G290" t="s">
        <v>222</v>
      </c>
      <c r="H290">
        <v>0</v>
      </c>
      <c r="I290" t="s">
        <v>15</v>
      </c>
      <c r="J290" t="s">
        <v>14</v>
      </c>
      <c r="K290" t="s">
        <v>15</v>
      </c>
      <c r="L290">
        <v>25</v>
      </c>
      <c r="M290" t="s">
        <v>16</v>
      </c>
      <c r="N290" t="s">
        <v>17</v>
      </c>
      <c r="O290" s="3">
        <v>35920</v>
      </c>
      <c r="P290" s="3">
        <v>42955</v>
      </c>
      <c r="Q290" s="1" t="s">
        <v>14</v>
      </c>
      <c r="R290" s="7">
        <v>19.273972602739725</v>
      </c>
      <c r="S290" t="s">
        <v>14</v>
      </c>
      <c r="T290" t="s">
        <v>14</v>
      </c>
      <c r="U290" t="s">
        <v>24</v>
      </c>
    </row>
    <row r="291" spans="1:21" hidden="1" x14ac:dyDescent="0.25">
      <c r="A291" t="s">
        <v>79</v>
      </c>
      <c r="B291">
        <v>35.226618999999999</v>
      </c>
      <c r="C291">
        <v>-95.096738999999999</v>
      </c>
      <c r="D291" t="s">
        <v>257</v>
      </c>
      <c r="E291" t="s">
        <v>240</v>
      </c>
      <c r="F291" t="s">
        <v>11</v>
      </c>
      <c r="G291" t="s">
        <v>224</v>
      </c>
      <c r="H291">
        <v>99</v>
      </c>
      <c r="I291" t="s">
        <v>15</v>
      </c>
      <c r="J291" t="s">
        <v>186</v>
      </c>
      <c r="K291" t="s">
        <v>15</v>
      </c>
      <c r="L291">
        <v>14</v>
      </c>
      <c r="M291" t="s">
        <v>16</v>
      </c>
      <c r="N291" t="s">
        <v>16</v>
      </c>
      <c r="O291" s="3" t="s">
        <v>186</v>
      </c>
      <c r="P291" s="3" t="s">
        <v>186</v>
      </c>
      <c r="Q291" s="1" t="s">
        <v>186</v>
      </c>
      <c r="R291" s="7" t="s">
        <v>186</v>
      </c>
      <c r="S291" t="s">
        <v>186</v>
      </c>
      <c r="T291" t="s">
        <v>186</v>
      </c>
      <c r="U291" t="s">
        <v>19</v>
      </c>
    </row>
    <row r="292" spans="1:21" hidden="1" x14ac:dyDescent="0.25">
      <c r="A292" t="s">
        <v>79</v>
      </c>
      <c r="B292">
        <v>35.226618999999999</v>
      </c>
      <c r="C292">
        <v>-95.096738999999999</v>
      </c>
      <c r="D292" t="s">
        <v>257</v>
      </c>
      <c r="E292" t="s">
        <v>240</v>
      </c>
      <c r="F292" t="s">
        <v>11</v>
      </c>
      <c r="G292" t="s">
        <v>225</v>
      </c>
      <c r="H292">
        <v>3</v>
      </c>
      <c r="I292" t="s">
        <v>23</v>
      </c>
      <c r="J292" t="s">
        <v>22</v>
      </c>
      <c r="K292" s="2">
        <v>2.798</v>
      </c>
      <c r="L292">
        <v>22</v>
      </c>
      <c r="M292" t="s">
        <v>16</v>
      </c>
      <c r="N292" t="s">
        <v>33</v>
      </c>
      <c r="O292" s="3">
        <v>35920</v>
      </c>
      <c r="P292" s="3">
        <v>42955</v>
      </c>
      <c r="Q292" s="1">
        <v>1.1984127853881281</v>
      </c>
      <c r="R292" s="7">
        <v>19.273972602739725</v>
      </c>
      <c r="S292">
        <v>45</v>
      </c>
      <c r="T292" s="2">
        <v>98.928575342465763</v>
      </c>
      <c r="U292" t="s">
        <v>21</v>
      </c>
    </row>
    <row r="293" spans="1:21" hidden="1" x14ac:dyDescent="0.25">
      <c r="A293" t="s">
        <v>79</v>
      </c>
      <c r="B293">
        <v>35.226618999999999</v>
      </c>
      <c r="C293">
        <v>-95.096738999999999</v>
      </c>
      <c r="D293" t="s">
        <v>257</v>
      </c>
      <c r="E293" t="s">
        <v>240</v>
      </c>
      <c r="F293" t="s">
        <v>11</v>
      </c>
      <c r="G293" t="s">
        <v>223</v>
      </c>
      <c r="H293">
        <v>0</v>
      </c>
      <c r="I293" t="s">
        <v>15</v>
      </c>
      <c r="J293" t="s">
        <v>14</v>
      </c>
      <c r="K293" t="s">
        <v>15</v>
      </c>
      <c r="L293">
        <v>25</v>
      </c>
      <c r="M293" t="s">
        <v>16</v>
      </c>
      <c r="N293" t="s">
        <v>17</v>
      </c>
      <c r="O293" s="3">
        <v>35920</v>
      </c>
      <c r="P293" s="3">
        <v>42955</v>
      </c>
      <c r="Q293" s="1" t="s">
        <v>14</v>
      </c>
      <c r="R293" s="7">
        <v>19.273972602739725</v>
      </c>
      <c r="S293" t="s">
        <v>14</v>
      </c>
      <c r="T293" t="s">
        <v>14</v>
      </c>
      <c r="U293" t="s">
        <v>24</v>
      </c>
    </row>
    <row r="294" spans="1:21" hidden="1" x14ac:dyDescent="0.25">
      <c r="A294" t="s">
        <v>79</v>
      </c>
      <c r="B294">
        <v>35.226618999999999</v>
      </c>
      <c r="C294">
        <v>-95.096738999999999</v>
      </c>
      <c r="D294" t="s">
        <v>257</v>
      </c>
      <c r="E294" t="s">
        <v>240</v>
      </c>
      <c r="F294" t="s">
        <v>11</v>
      </c>
      <c r="G294" t="s">
        <v>226</v>
      </c>
      <c r="H294">
        <v>99</v>
      </c>
      <c r="I294" t="s">
        <v>15</v>
      </c>
      <c r="J294" s="4" t="s">
        <v>186</v>
      </c>
      <c r="K294" t="s">
        <v>15</v>
      </c>
      <c r="L294">
        <v>15</v>
      </c>
      <c r="M294" t="s">
        <v>16</v>
      </c>
      <c r="N294" t="s">
        <v>17</v>
      </c>
      <c r="O294" s="3" t="s">
        <v>186</v>
      </c>
      <c r="P294" s="3" t="s">
        <v>186</v>
      </c>
      <c r="Q294" s="1" t="s">
        <v>186</v>
      </c>
      <c r="R294" s="7" t="s">
        <v>186</v>
      </c>
      <c r="S294" t="s">
        <v>186</v>
      </c>
      <c r="T294" t="s">
        <v>186</v>
      </c>
      <c r="U294" t="s">
        <v>27</v>
      </c>
    </row>
    <row r="295" spans="1:21" hidden="1" x14ac:dyDescent="0.25">
      <c r="A295" t="s">
        <v>80</v>
      </c>
      <c r="B295">
        <v>36.701174999999999</v>
      </c>
      <c r="C295">
        <v>-96.924207999999993</v>
      </c>
      <c r="D295" t="s">
        <v>244</v>
      </c>
      <c r="E295" t="s">
        <v>240</v>
      </c>
      <c r="F295" t="s">
        <v>11</v>
      </c>
      <c r="G295" t="s">
        <v>221</v>
      </c>
      <c r="H295">
        <v>0</v>
      </c>
      <c r="I295" t="s">
        <v>15</v>
      </c>
      <c r="J295" t="s">
        <v>14</v>
      </c>
      <c r="K295" t="s">
        <v>15</v>
      </c>
      <c r="L295">
        <v>35</v>
      </c>
      <c r="M295" t="s">
        <v>17</v>
      </c>
      <c r="N295" t="s">
        <v>17</v>
      </c>
      <c r="O295" s="3">
        <v>37628</v>
      </c>
      <c r="P295" s="3">
        <v>44894</v>
      </c>
      <c r="Q295" s="1" t="s">
        <v>14</v>
      </c>
      <c r="R295" s="7">
        <v>19.906849315068492</v>
      </c>
      <c r="S295" t="s">
        <v>14</v>
      </c>
      <c r="T295" t="s">
        <v>14</v>
      </c>
      <c r="U295" t="s">
        <v>13</v>
      </c>
    </row>
    <row r="296" spans="1:21" hidden="1" x14ac:dyDescent="0.25">
      <c r="A296" t="s">
        <v>80</v>
      </c>
      <c r="B296">
        <v>36.701174999999999</v>
      </c>
      <c r="C296">
        <v>-96.924207999999993</v>
      </c>
      <c r="D296" t="s">
        <v>244</v>
      </c>
      <c r="E296" t="s">
        <v>240</v>
      </c>
      <c r="F296" t="s">
        <v>11</v>
      </c>
      <c r="G296" t="s">
        <v>222</v>
      </c>
      <c r="H296">
        <v>0</v>
      </c>
      <c r="I296" t="s">
        <v>15</v>
      </c>
      <c r="J296" t="s">
        <v>14</v>
      </c>
      <c r="K296" t="s">
        <v>15</v>
      </c>
      <c r="L296">
        <v>38</v>
      </c>
      <c r="M296" t="s">
        <v>17</v>
      </c>
      <c r="N296" t="s">
        <v>17</v>
      </c>
      <c r="O296" s="3">
        <v>36466</v>
      </c>
      <c r="P296" s="3">
        <v>44894</v>
      </c>
      <c r="Q296" s="1" t="s">
        <v>14</v>
      </c>
      <c r="R296" s="7">
        <v>23.090410958904108</v>
      </c>
      <c r="S296" t="s">
        <v>14</v>
      </c>
      <c r="T296" t="s">
        <v>14</v>
      </c>
      <c r="U296" t="s">
        <v>24</v>
      </c>
    </row>
    <row r="297" spans="1:21" hidden="1" x14ac:dyDescent="0.25">
      <c r="A297" t="s">
        <v>80</v>
      </c>
      <c r="B297">
        <v>36.701174999999999</v>
      </c>
      <c r="C297">
        <v>-96.924207999999993</v>
      </c>
      <c r="D297" t="s">
        <v>244</v>
      </c>
      <c r="E297" t="s">
        <v>240</v>
      </c>
      <c r="F297" t="s">
        <v>11</v>
      </c>
      <c r="G297" t="s">
        <v>224</v>
      </c>
      <c r="H297">
        <v>0</v>
      </c>
      <c r="I297" t="s">
        <v>15</v>
      </c>
      <c r="J297" t="s">
        <v>14</v>
      </c>
      <c r="K297" t="s">
        <v>15</v>
      </c>
      <c r="L297">
        <v>26</v>
      </c>
      <c r="M297" t="s">
        <v>17</v>
      </c>
      <c r="N297" t="s">
        <v>17</v>
      </c>
      <c r="O297" s="3">
        <v>38313</v>
      </c>
      <c r="P297" s="3">
        <v>44894</v>
      </c>
      <c r="Q297" s="1" t="s">
        <v>14</v>
      </c>
      <c r="R297" s="7">
        <v>18.030136986301368</v>
      </c>
      <c r="S297" t="s">
        <v>14</v>
      </c>
      <c r="T297" t="s">
        <v>14</v>
      </c>
      <c r="U297" t="s">
        <v>19</v>
      </c>
    </row>
    <row r="298" spans="1:21" hidden="1" x14ac:dyDescent="0.25">
      <c r="A298" t="s">
        <v>80</v>
      </c>
      <c r="B298">
        <v>36.701174999999999</v>
      </c>
      <c r="C298">
        <v>-96.924207999999993</v>
      </c>
      <c r="D298" t="s">
        <v>244</v>
      </c>
      <c r="E298" t="s">
        <v>240</v>
      </c>
      <c r="F298" t="s">
        <v>11</v>
      </c>
      <c r="G298" t="s">
        <v>225</v>
      </c>
      <c r="H298">
        <v>0</v>
      </c>
      <c r="I298" t="s">
        <v>15</v>
      </c>
      <c r="J298" t="s">
        <v>14</v>
      </c>
      <c r="K298" s="2" t="s">
        <v>15</v>
      </c>
      <c r="L298">
        <v>41</v>
      </c>
      <c r="M298" t="s">
        <v>17</v>
      </c>
      <c r="N298" t="s">
        <v>17</v>
      </c>
      <c r="O298" s="3">
        <v>36466</v>
      </c>
      <c r="P298" s="3">
        <v>44894</v>
      </c>
      <c r="Q298" s="1" t="s">
        <v>14</v>
      </c>
      <c r="R298" s="7">
        <v>23.090410958904108</v>
      </c>
      <c r="S298" t="s">
        <v>14</v>
      </c>
      <c r="T298" t="s">
        <v>14</v>
      </c>
      <c r="U298" t="s">
        <v>21</v>
      </c>
    </row>
    <row r="299" spans="1:21" hidden="1" x14ac:dyDescent="0.25">
      <c r="A299" t="s">
        <v>80</v>
      </c>
      <c r="B299">
        <v>36.701174999999999</v>
      </c>
      <c r="C299">
        <v>-96.924207999999993</v>
      </c>
      <c r="D299" t="s">
        <v>244</v>
      </c>
      <c r="E299" t="s">
        <v>240</v>
      </c>
      <c r="F299" t="s">
        <v>11</v>
      </c>
      <c r="G299" t="s">
        <v>223</v>
      </c>
      <c r="H299">
        <v>0</v>
      </c>
      <c r="I299" t="s">
        <v>15</v>
      </c>
      <c r="J299" t="s">
        <v>14</v>
      </c>
      <c r="K299" t="s">
        <v>15</v>
      </c>
      <c r="L299">
        <v>38</v>
      </c>
      <c r="M299" t="s">
        <v>17</v>
      </c>
      <c r="N299" t="s">
        <v>17</v>
      </c>
      <c r="O299" s="3">
        <v>36466</v>
      </c>
      <c r="P299" s="3">
        <v>44894</v>
      </c>
      <c r="Q299" s="1" t="s">
        <v>14</v>
      </c>
      <c r="R299" s="7">
        <v>23</v>
      </c>
      <c r="S299" t="s">
        <v>14</v>
      </c>
      <c r="T299" t="s">
        <v>14</v>
      </c>
      <c r="U299" t="s">
        <v>24</v>
      </c>
    </row>
    <row r="300" spans="1:21" hidden="1" x14ac:dyDescent="0.25">
      <c r="A300" t="s">
        <v>80</v>
      </c>
      <c r="B300">
        <v>36.701174999999999</v>
      </c>
      <c r="C300">
        <v>-96.924207999999993</v>
      </c>
      <c r="D300" t="s">
        <v>244</v>
      </c>
      <c r="E300" t="s">
        <v>240</v>
      </c>
      <c r="F300" t="s">
        <v>11</v>
      </c>
      <c r="G300" t="s">
        <v>226</v>
      </c>
      <c r="H300">
        <v>-1</v>
      </c>
      <c r="I300" t="s">
        <v>29</v>
      </c>
      <c r="J300" s="4" t="s">
        <v>28</v>
      </c>
      <c r="K300">
        <v>-0.32940000000000003</v>
      </c>
      <c r="L300">
        <v>29</v>
      </c>
      <c r="M300" t="s">
        <v>17</v>
      </c>
      <c r="N300" t="s">
        <v>17</v>
      </c>
      <c r="O300" s="3">
        <v>38313</v>
      </c>
      <c r="P300" s="3">
        <v>44926</v>
      </c>
      <c r="Q300" s="1">
        <v>-0.27758167569289594</v>
      </c>
      <c r="R300" s="7">
        <v>18.117808219178084</v>
      </c>
      <c r="S300">
        <v>21.5</v>
      </c>
      <c r="T300" s="2">
        <v>15.531993972602738</v>
      </c>
      <c r="U300" t="s">
        <v>27</v>
      </c>
    </row>
    <row r="301" spans="1:21" hidden="1" x14ac:dyDescent="0.25">
      <c r="A301" t="s">
        <v>81</v>
      </c>
      <c r="B301">
        <v>36.147261</v>
      </c>
      <c r="C301">
        <v>-96.257292000000007</v>
      </c>
      <c r="D301" t="s">
        <v>269</v>
      </c>
      <c r="E301" t="s">
        <v>240</v>
      </c>
      <c r="F301" t="s">
        <v>11</v>
      </c>
      <c r="G301" t="s">
        <v>221</v>
      </c>
      <c r="H301">
        <v>0</v>
      </c>
      <c r="I301" t="s">
        <v>15</v>
      </c>
      <c r="J301" t="s">
        <v>14</v>
      </c>
      <c r="K301" t="s">
        <v>15</v>
      </c>
      <c r="L301">
        <v>42</v>
      </c>
      <c r="M301" t="s">
        <v>17</v>
      </c>
      <c r="N301" t="s">
        <v>17</v>
      </c>
      <c r="O301" s="3">
        <v>35927</v>
      </c>
      <c r="P301" s="3">
        <v>44893</v>
      </c>
      <c r="Q301" s="1" t="s">
        <v>14</v>
      </c>
      <c r="R301" s="7">
        <v>24.564383561643837</v>
      </c>
      <c r="S301" t="s">
        <v>14</v>
      </c>
      <c r="T301" t="s">
        <v>14</v>
      </c>
      <c r="U301" t="s">
        <v>13</v>
      </c>
    </row>
    <row r="302" spans="1:21" hidden="1" x14ac:dyDescent="0.25">
      <c r="A302" t="s">
        <v>81</v>
      </c>
      <c r="B302">
        <v>36.147261</v>
      </c>
      <c r="C302">
        <v>-96.257292000000007</v>
      </c>
      <c r="D302" t="s">
        <v>269</v>
      </c>
      <c r="E302" t="s">
        <v>240</v>
      </c>
      <c r="F302" t="s">
        <v>11</v>
      </c>
      <c r="G302" t="s">
        <v>222</v>
      </c>
      <c r="H302">
        <v>0</v>
      </c>
      <c r="I302" t="s">
        <v>15</v>
      </c>
      <c r="J302" t="s">
        <v>14</v>
      </c>
      <c r="K302" t="s">
        <v>15</v>
      </c>
      <c r="L302">
        <v>44</v>
      </c>
      <c r="M302" t="s">
        <v>17</v>
      </c>
      <c r="N302" t="s">
        <v>17</v>
      </c>
      <c r="O302" s="3">
        <v>35927</v>
      </c>
      <c r="P302" s="3">
        <v>44893</v>
      </c>
      <c r="Q302" s="1" t="s">
        <v>14</v>
      </c>
      <c r="R302" s="7">
        <v>24.564383561643837</v>
      </c>
      <c r="S302" t="s">
        <v>14</v>
      </c>
      <c r="T302" t="s">
        <v>14</v>
      </c>
      <c r="U302" t="s">
        <v>24</v>
      </c>
    </row>
    <row r="303" spans="1:21" hidden="1" x14ac:dyDescent="0.25">
      <c r="A303" t="s">
        <v>81</v>
      </c>
      <c r="B303">
        <v>36.147261</v>
      </c>
      <c r="C303">
        <v>-96.257292000000007</v>
      </c>
      <c r="D303" t="s">
        <v>269</v>
      </c>
      <c r="E303" t="s">
        <v>240</v>
      </c>
      <c r="F303" t="s">
        <v>11</v>
      </c>
      <c r="G303" t="s">
        <v>224</v>
      </c>
      <c r="H303">
        <v>1</v>
      </c>
      <c r="I303" t="s">
        <v>23</v>
      </c>
      <c r="J303" s="5" t="s">
        <v>40</v>
      </c>
      <c r="K303">
        <v>0.84089999999999998</v>
      </c>
      <c r="L303">
        <v>44</v>
      </c>
      <c r="M303" t="s">
        <v>17</v>
      </c>
      <c r="N303" t="s">
        <v>17</v>
      </c>
      <c r="O303" s="3">
        <v>35927</v>
      </c>
      <c r="P303" s="3">
        <v>44893</v>
      </c>
      <c r="Q303" s="1">
        <v>0.50380951553625108</v>
      </c>
      <c r="R303" s="7">
        <v>24.564383561643837</v>
      </c>
      <c r="S303">
        <v>41</v>
      </c>
      <c r="T303" s="2">
        <v>61.656190136986297</v>
      </c>
      <c r="U303" t="s">
        <v>19</v>
      </c>
    </row>
    <row r="304" spans="1:21" hidden="1" x14ac:dyDescent="0.25">
      <c r="A304" t="s">
        <v>81</v>
      </c>
      <c r="B304">
        <v>36.147261</v>
      </c>
      <c r="C304">
        <v>-96.257292000000007</v>
      </c>
      <c r="D304" t="s">
        <v>269</v>
      </c>
      <c r="E304" t="s">
        <v>240</v>
      </c>
      <c r="F304" t="s">
        <v>11</v>
      </c>
      <c r="G304" t="s">
        <v>225</v>
      </c>
      <c r="H304">
        <v>1</v>
      </c>
      <c r="I304" t="s">
        <v>23</v>
      </c>
      <c r="J304" t="s">
        <v>40</v>
      </c>
      <c r="K304" s="2">
        <v>12.84</v>
      </c>
      <c r="L304">
        <v>44</v>
      </c>
      <c r="M304" t="s">
        <v>17</v>
      </c>
      <c r="N304" t="s">
        <v>17</v>
      </c>
      <c r="O304" s="3">
        <v>35927</v>
      </c>
      <c r="P304" s="3">
        <v>44893</v>
      </c>
      <c r="Q304" s="1">
        <v>0.23363458143074578</v>
      </c>
      <c r="R304" s="7">
        <v>24.564383561643837</v>
      </c>
      <c r="S304">
        <v>1350</v>
      </c>
      <c r="T304" s="2">
        <v>1665.4066849315068</v>
      </c>
      <c r="U304" t="s">
        <v>21</v>
      </c>
    </row>
    <row r="305" spans="1:21" hidden="1" x14ac:dyDescent="0.25">
      <c r="A305" t="s">
        <v>81</v>
      </c>
      <c r="B305">
        <v>36.147261</v>
      </c>
      <c r="C305">
        <v>-96.257292000000007</v>
      </c>
      <c r="D305" t="s">
        <v>269</v>
      </c>
      <c r="E305" t="s">
        <v>240</v>
      </c>
      <c r="F305" t="s">
        <v>11</v>
      </c>
      <c r="G305" t="s">
        <v>223</v>
      </c>
      <c r="H305">
        <v>3</v>
      </c>
      <c r="I305" t="s">
        <v>23</v>
      </c>
      <c r="J305" s="4" t="s">
        <v>22</v>
      </c>
      <c r="K305">
        <v>3.869E-3</v>
      </c>
      <c r="L305">
        <v>44</v>
      </c>
      <c r="M305" t="s">
        <v>17</v>
      </c>
      <c r="N305" t="s">
        <v>17</v>
      </c>
      <c r="O305" s="3">
        <v>35927</v>
      </c>
      <c r="P305" s="3">
        <v>44893</v>
      </c>
      <c r="Q305" s="1">
        <v>0.79199666666666668</v>
      </c>
      <c r="R305" s="7">
        <v>24.564383561643837</v>
      </c>
      <c r="S305">
        <v>0.12</v>
      </c>
      <c r="T305" s="2">
        <v>0.2150396</v>
      </c>
      <c r="U305" t="s">
        <v>24</v>
      </c>
    </row>
    <row r="306" spans="1:21" hidden="1" x14ac:dyDescent="0.25">
      <c r="A306" t="s">
        <v>81</v>
      </c>
      <c r="B306">
        <v>36.147261</v>
      </c>
      <c r="C306">
        <v>-96.257292000000007</v>
      </c>
      <c r="D306" t="s">
        <v>269</v>
      </c>
      <c r="E306" t="s">
        <v>240</v>
      </c>
      <c r="F306" t="s">
        <v>11</v>
      </c>
      <c r="G306" t="s">
        <v>226</v>
      </c>
      <c r="H306">
        <v>-1</v>
      </c>
      <c r="I306" t="s">
        <v>29</v>
      </c>
      <c r="J306" s="4" t="s">
        <v>28</v>
      </c>
      <c r="K306">
        <v>-0.58660000000000001</v>
      </c>
      <c r="L306">
        <v>43</v>
      </c>
      <c r="M306" t="s">
        <v>17</v>
      </c>
      <c r="N306" t="s">
        <v>17</v>
      </c>
      <c r="O306" s="3">
        <v>35927</v>
      </c>
      <c r="P306" s="3">
        <v>44937</v>
      </c>
      <c r="Q306" s="1">
        <v>-0.41371945205479443</v>
      </c>
      <c r="R306" s="7">
        <v>24.684931506849313</v>
      </c>
      <c r="S306">
        <v>35</v>
      </c>
      <c r="T306" s="2">
        <v>20.519819178082194</v>
      </c>
      <c r="U306" t="s">
        <v>27</v>
      </c>
    </row>
    <row r="307" spans="1:21" hidden="1" x14ac:dyDescent="0.25">
      <c r="A307" t="s">
        <v>82</v>
      </c>
      <c r="B307">
        <v>34.961356000000002</v>
      </c>
      <c r="C307">
        <v>-96.704008000000002</v>
      </c>
      <c r="D307" t="s">
        <v>270</v>
      </c>
      <c r="E307" t="s">
        <v>240</v>
      </c>
      <c r="F307" t="s">
        <v>11</v>
      </c>
      <c r="G307" t="s">
        <v>221</v>
      </c>
      <c r="H307">
        <v>3</v>
      </c>
      <c r="I307" t="s">
        <v>23</v>
      </c>
      <c r="J307" s="4" t="s">
        <v>22</v>
      </c>
      <c r="K307">
        <v>0.6431</v>
      </c>
      <c r="L307">
        <v>28</v>
      </c>
      <c r="M307" t="s">
        <v>33</v>
      </c>
      <c r="N307" t="s">
        <v>16</v>
      </c>
      <c r="O307" s="3">
        <v>37488</v>
      </c>
      <c r="P307" s="3">
        <v>43749</v>
      </c>
      <c r="Q307" s="1">
        <v>1.1031367397260277</v>
      </c>
      <c r="R307" s="7">
        <v>17.153424657534245</v>
      </c>
      <c r="S307">
        <v>10</v>
      </c>
      <c r="T307" s="2">
        <v>21.031367397260276</v>
      </c>
      <c r="U307" t="s">
        <v>13</v>
      </c>
    </row>
    <row r="308" spans="1:21" hidden="1" x14ac:dyDescent="0.25">
      <c r="A308" t="s">
        <v>82</v>
      </c>
      <c r="B308">
        <v>34.961356000000002</v>
      </c>
      <c r="C308">
        <v>-96.704008000000002</v>
      </c>
      <c r="D308" t="s">
        <v>270</v>
      </c>
      <c r="E308" t="s">
        <v>240</v>
      </c>
      <c r="F308" t="s">
        <v>11</v>
      </c>
      <c r="G308" t="s">
        <v>222</v>
      </c>
      <c r="H308">
        <v>3</v>
      </c>
      <c r="I308" t="s">
        <v>23</v>
      </c>
      <c r="J308" s="4" t="s">
        <v>22</v>
      </c>
      <c r="K308">
        <v>1.8780000000000002E-2</v>
      </c>
      <c r="L308">
        <v>30</v>
      </c>
      <c r="M308" t="s">
        <v>31</v>
      </c>
      <c r="N308" t="s">
        <v>17</v>
      </c>
      <c r="O308" s="3">
        <v>37214</v>
      </c>
      <c r="P308" s="3">
        <v>43718</v>
      </c>
      <c r="Q308" s="1">
        <v>0.44619221917808211</v>
      </c>
      <c r="R308" s="7">
        <v>17.81917808219178</v>
      </c>
      <c r="S308">
        <v>0.75</v>
      </c>
      <c r="T308" s="2">
        <v>1.0846441643835616</v>
      </c>
      <c r="U308" t="s">
        <v>24</v>
      </c>
    </row>
    <row r="309" spans="1:21" hidden="1" x14ac:dyDescent="0.25">
      <c r="A309" t="s">
        <v>82</v>
      </c>
      <c r="B309">
        <v>34.961356000000002</v>
      </c>
      <c r="C309">
        <v>-96.704008000000002</v>
      </c>
      <c r="D309" t="s">
        <v>270</v>
      </c>
      <c r="E309" t="s">
        <v>240</v>
      </c>
      <c r="F309" t="s">
        <v>11</v>
      </c>
      <c r="G309" t="s">
        <v>224</v>
      </c>
      <c r="H309">
        <v>0</v>
      </c>
      <c r="I309" t="s">
        <v>15</v>
      </c>
      <c r="J309" t="s">
        <v>14</v>
      </c>
      <c r="K309" t="s">
        <v>15</v>
      </c>
      <c r="L309">
        <v>21</v>
      </c>
      <c r="M309" t="s">
        <v>33</v>
      </c>
      <c r="N309" t="s">
        <v>17</v>
      </c>
      <c r="O309" s="3">
        <v>37214</v>
      </c>
      <c r="P309" s="3">
        <v>43718</v>
      </c>
      <c r="Q309" s="1" t="s">
        <v>14</v>
      </c>
      <c r="R309" s="7">
        <v>17.81917808219178</v>
      </c>
      <c r="S309" t="s">
        <v>14</v>
      </c>
      <c r="T309" t="s">
        <v>14</v>
      </c>
      <c r="U309" t="s">
        <v>19</v>
      </c>
    </row>
    <row r="310" spans="1:21" hidden="1" x14ac:dyDescent="0.25">
      <c r="A310" t="s">
        <v>82</v>
      </c>
      <c r="B310">
        <v>34.961356000000002</v>
      </c>
      <c r="C310">
        <v>-96.704008000000002</v>
      </c>
      <c r="D310" t="s">
        <v>270</v>
      </c>
      <c r="E310" t="s">
        <v>240</v>
      </c>
      <c r="F310" t="s">
        <v>11</v>
      </c>
      <c r="G310" t="s">
        <v>225</v>
      </c>
      <c r="H310">
        <v>-1</v>
      </c>
      <c r="I310" t="s">
        <v>29</v>
      </c>
      <c r="J310" t="s">
        <v>28</v>
      </c>
      <c r="K310" s="2">
        <v>-23.8</v>
      </c>
      <c r="L310">
        <v>27</v>
      </c>
      <c r="M310" t="s">
        <v>16</v>
      </c>
      <c r="N310" t="s">
        <v>33</v>
      </c>
      <c r="O310" s="3">
        <v>37214</v>
      </c>
      <c r="P310" s="3">
        <v>43718</v>
      </c>
      <c r="Q310" s="1">
        <v>-0.31414550989345502</v>
      </c>
      <c r="R310" s="7">
        <v>17.81917808219178</v>
      </c>
      <c r="S310">
        <v>1350</v>
      </c>
      <c r="T310" s="2">
        <v>925.9035616438357</v>
      </c>
      <c r="U310" t="s">
        <v>21</v>
      </c>
    </row>
    <row r="311" spans="1:21" hidden="1" x14ac:dyDescent="0.25">
      <c r="A311" t="s">
        <v>82</v>
      </c>
      <c r="B311">
        <v>34.961356000000002</v>
      </c>
      <c r="C311">
        <v>-96.704008000000002</v>
      </c>
      <c r="D311" t="s">
        <v>270</v>
      </c>
      <c r="E311" t="s">
        <v>240</v>
      </c>
      <c r="F311" t="s">
        <v>11</v>
      </c>
      <c r="G311" t="s">
        <v>223</v>
      </c>
      <c r="H311">
        <v>0</v>
      </c>
      <c r="I311" t="s">
        <v>15</v>
      </c>
      <c r="J311" t="s">
        <v>14</v>
      </c>
      <c r="K311" t="s">
        <v>15</v>
      </c>
      <c r="L311">
        <v>30</v>
      </c>
      <c r="M311" t="s">
        <v>16</v>
      </c>
      <c r="N311" t="s">
        <v>17</v>
      </c>
      <c r="O311" s="3">
        <v>37214</v>
      </c>
      <c r="P311" s="3">
        <v>43718</v>
      </c>
      <c r="Q311" s="1" t="s">
        <v>14</v>
      </c>
      <c r="R311" s="7">
        <v>17.81917808219178</v>
      </c>
      <c r="S311" t="s">
        <v>14</v>
      </c>
      <c r="T311" t="s">
        <v>14</v>
      </c>
      <c r="U311" t="s">
        <v>24</v>
      </c>
    </row>
    <row r="312" spans="1:21" hidden="1" x14ac:dyDescent="0.25">
      <c r="A312" t="s">
        <v>82</v>
      </c>
      <c r="B312">
        <v>34.961356000000002</v>
      </c>
      <c r="C312">
        <v>-96.704008000000002</v>
      </c>
      <c r="D312" t="s">
        <v>270</v>
      </c>
      <c r="E312" t="s">
        <v>240</v>
      </c>
      <c r="F312" t="s">
        <v>11</v>
      </c>
      <c r="G312" t="s">
        <v>226</v>
      </c>
      <c r="H312">
        <v>0</v>
      </c>
      <c r="I312" t="s">
        <v>15</v>
      </c>
      <c r="J312" t="s">
        <v>14</v>
      </c>
      <c r="K312" t="s">
        <v>15</v>
      </c>
      <c r="L312">
        <v>25</v>
      </c>
      <c r="M312" t="s">
        <v>33</v>
      </c>
      <c r="N312" t="s">
        <v>17</v>
      </c>
      <c r="O312" s="3">
        <v>37214</v>
      </c>
      <c r="P312" s="3">
        <v>43718</v>
      </c>
      <c r="Q312" s="1" t="s">
        <v>14</v>
      </c>
      <c r="R312" s="7">
        <v>17.81917808219178</v>
      </c>
      <c r="S312" t="s">
        <v>14</v>
      </c>
      <c r="T312" t="s">
        <v>14</v>
      </c>
      <c r="U312" t="s">
        <v>27</v>
      </c>
    </row>
    <row r="313" spans="1:21" hidden="1" x14ac:dyDescent="0.25">
      <c r="A313" s="5" t="s">
        <v>207</v>
      </c>
      <c r="B313">
        <v>36.232987999999999</v>
      </c>
      <c r="C313">
        <v>-95.179078000000004</v>
      </c>
      <c r="D313" t="s">
        <v>271</v>
      </c>
      <c r="E313" t="s">
        <v>240</v>
      </c>
      <c r="F313" t="s">
        <v>11</v>
      </c>
      <c r="G313" t="s">
        <v>221</v>
      </c>
      <c r="H313">
        <v>0</v>
      </c>
      <c r="I313" t="s">
        <v>15</v>
      </c>
      <c r="J313" s="5" t="s">
        <v>14</v>
      </c>
      <c r="K313" s="2" t="s">
        <v>15</v>
      </c>
      <c r="L313" s="6">
        <v>40</v>
      </c>
      <c r="M313" s="5" t="s">
        <v>17</v>
      </c>
      <c r="N313" s="5" t="s">
        <v>17</v>
      </c>
      <c r="O313" s="3">
        <v>36438</v>
      </c>
      <c r="P313" s="3">
        <v>43677</v>
      </c>
      <c r="Q313" s="1" t="s">
        <v>14</v>
      </c>
      <c r="R313" s="7">
        <v>19.832876712328765</v>
      </c>
      <c r="S313" t="s">
        <v>14</v>
      </c>
      <c r="T313" t="s">
        <v>14</v>
      </c>
      <c r="U313" t="s">
        <v>13</v>
      </c>
    </row>
    <row r="314" spans="1:21" hidden="1" x14ac:dyDescent="0.25">
      <c r="A314" s="5" t="s">
        <v>207</v>
      </c>
      <c r="B314">
        <v>36.232987999999999</v>
      </c>
      <c r="C314">
        <v>-95.179078000000004</v>
      </c>
      <c r="D314" t="s">
        <v>271</v>
      </c>
      <c r="E314" t="s">
        <v>240</v>
      </c>
      <c r="F314" t="s">
        <v>11</v>
      </c>
      <c r="G314" t="s">
        <v>222</v>
      </c>
      <c r="H314">
        <v>3</v>
      </c>
      <c r="I314" t="s">
        <v>23</v>
      </c>
      <c r="J314" s="4" t="s">
        <v>22</v>
      </c>
      <c r="K314">
        <v>1.7250000000000001E-2</v>
      </c>
      <c r="L314" s="6">
        <v>38</v>
      </c>
      <c r="M314" s="5" t="s">
        <v>33</v>
      </c>
      <c r="N314" s="5" t="s">
        <v>17</v>
      </c>
      <c r="O314" s="3">
        <v>36438</v>
      </c>
      <c r="P314" s="3">
        <v>43677</v>
      </c>
      <c r="Q314" s="1">
        <v>0.52633403582718663</v>
      </c>
      <c r="R314" s="7">
        <v>19.832876712328765</v>
      </c>
      <c r="S314">
        <v>0.65</v>
      </c>
      <c r="T314" s="2">
        <v>0.99211712328767132</v>
      </c>
      <c r="U314" t="s">
        <v>24</v>
      </c>
    </row>
    <row r="315" spans="1:21" hidden="1" x14ac:dyDescent="0.25">
      <c r="A315" s="5" t="s">
        <v>207</v>
      </c>
      <c r="B315">
        <v>36.232987999999999</v>
      </c>
      <c r="C315">
        <v>-95.179078000000004</v>
      </c>
      <c r="D315" t="s">
        <v>271</v>
      </c>
      <c r="E315" t="s">
        <v>240</v>
      </c>
      <c r="F315" t="s">
        <v>11</v>
      </c>
      <c r="G315" t="s">
        <v>224</v>
      </c>
      <c r="H315">
        <v>0</v>
      </c>
      <c r="I315" t="s">
        <v>15</v>
      </c>
      <c r="J315" s="5" t="s">
        <v>14</v>
      </c>
      <c r="K315" t="s">
        <v>15</v>
      </c>
      <c r="L315" s="6">
        <v>36</v>
      </c>
      <c r="M315" s="5" t="s">
        <v>17</v>
      </c>
      <c r="N315" s="5" t="s">
        <v>17</v>
      </c>
      <c r="O315" s="3">
        <v>36438</v>
      </c>
      <c r="P315" s="3">
        <v>43677</v>
      </c>
      <c r="Q315" s="1" t="s">
        <v>14</v>
      </c>
      <c r="R315" s="7">
        <v>19.832876712328765</v>
      </c>
      <c r="S315" t="s">
        <v>14</v>
      </c>
      <c r="T315" t="s">
        <v>14</v>
      </c>
      <c r="U315" t="s">
        <v>19</v>
      </c>
    </row>
    <row r="316" spans="1:21" hidden="1" x14ac:dyDescent="0.25">
      <c r="A316" s="5" t="s">
        <v>207</v>
      </c>
      <c r="B316">
        <v>36.232987999999999</v>
      </c>
      <c r="C316">
        <v>-95.179078000000004</v>
      </c>
      <c r="D316" t="s">
        <v>271</v>
      </c>
      <c r="E316" t="s">
        <v>240</v>
      </c>
      <c r="F316" t="s">
        <v>11</v>
      </c>
      <c r="G316" t="s">
        <v>225</v>
      </c>
      <c r="H316">
        <v>1</v>
      </c>
      <c r="I316" t="s">
        <v>23</v>
      </c>
      <c r="J316" s="4" t="s">
        <v>40</v>
      </c>
      <c r="K316" s="2">
        <v>1.1359999999999999</v>
      </c>
      <c r="L316" s="6">
        <v>37</v>
      </c>
      <c r="O316" s="3">
        <v>36438</v>
      </c>
      <c r="P316" s="3">
        <v>45236</v>
      </c>
      <c r="Q316" s="1">
        <v>0.11361937134087412</v>
      </c>
      <c r="R316" s="7">
        <v>24.104109589041094</v>
      </c>
      <c r="S316">
        <v>241</v>
      </c>
      <c r="T316" s="2">
        <v>268.38226849315066</v>
      </c>
      <c r="U316" t="s">
        <v>21</v>
      </c>
    </row>
    <row r="317" spans="1:21" hidden="1" x14ac:dyDescent="0.25">
      <c r="A317" s="5" t="s">
        <v>207</v>
      </c>
      <c r="B317">
        <v>36.232987999999999</v>
      </c>
      <c r="C317">
        <v>-95.179078000000004</v>
      </c>
      <c r="D317" t="s">
        <v>271</v>
      </c>
      <c r="E317" t="s">
        <v>240</v>
      </c>
      <c r="F317" t="s">
        <v>11</v>
      </c>
      <c r="G317" t="s">
        <v>223</v>
      </c>
      <c r="H317">
        <v>2</v>
      </c>
      <c r="I317" t="s">
        <v>23</v>
      </c>
      <c r="J317" s="4" t="s">
        <v>38</v>
      </c>
      <c r="K317" s="6">
        <v>1.6100000000000001E-3</v>
      </c>
      <c r="L317" s="6">
        <v>38</v>
      </c>
      <c r="M317" s="5" t="s">
        <v>33</v>
      </c>
      <c r="N317" s="5" t="s">
        <v>17</v>
      </c>
      <c r="O317" s="3">
        <v>36438</v>
      </c>
      <c r="P317" s="3">
        <v>43677</v>
      </c>
      <c r="Q317" s="1">
        <v>0.49124510010537398</v>
      </c>
      <c r="R317" s="7">
        <v>19.832876712328765</v>
      </c>
      <c r="S317">
        <v>6.5000000000000002E-2</v>
      </c>
      <c r="T317" s="2">
        <v>9.693093150684931E-2</v>
      </c>
      <c r="U317" t="s">
        <v>24</v>
      </c>
    </row>
    <row r="318" spans="1:21" hidden="1" x14ac:dyDescent="0.25">
      <c r="A318" s="5" t="s">
        <v>207</v>
      </c>
      <c r="B318">
        <v>36.232987999999999</v>
      </c>
      <c r="C318">
        <v>-95.179078000000004</v>
      </c>
      <c r="D318" t="s">
        <v>271</v>
      </c>
      <c r="E318" t="s">
        <v>240</v>
      </c>
      <c r="F318" t="s">
        <v>11</v>
      </c>
      <c r="G318" t="s">
        <v>226</v>
      </c>
      <c r="H318">
        <v>0</v>
      </c>
      <c r="I318" t="s">
        <v>15</v>
      </c>
      <c r="J318" s="5" t="s">
        <v>14</v>
      </c>
      <c r="K318" t="s">
        <v>15</v>
      </c>
      <c r="L318" s="6">
        <v>36</v>
      </c>
      <c r="M318" s="5" t="s">
        <v>33</v>
      </c>
      <c r="N318" s="5" t="s">
        <v>17</v>
      </c>
      <c r="O318" s="3">
        <v>36438</v>
      </c>
      <c r="P318" s="3">
        <v>43677</v>
      </c>
      <c r="Q318" s="1" t="s">
        <v>14</v>
      </c>
      <c r="R318" s="7">
        <v>19.832876712328765</v>
      </c>
      <c r="S318" t="s">
        <v>14</v>
      </c>
      <c r="T318" t="s">
        <v>14</v>
      </c>
      <c r="U318" t="s">
        <v>27</v>
      </c>
    </row>
    <row r="319" spans="1:21" hidden="1" x14ac:dyDescent="0.25">
      <c r="A319" t="s">
        <v>83</v>
      </c>
      <c r="B319">
        <v>35.925122000000002</v>
      </c>
      <c r="C319">
        <v>-97.278531000000001</v>
      </c>
      <c r="D319" t="s">
        <v>264</v>
      </c>
      <c r="E319" t="s">
        <v>240</v>
      </c>
      <c r="F319" t="s">
        <v>11</v>
      </c>
      <c r="G319" t="s">
        <v>221</v>
      </c>
      <c r="H319">
        <v>2</v>
      </c>
      <c r="I319" t="s">
        <v>23</v>
      </c>
      <c r="J319" s="4" t="s">
        <v>38</v>
      </c>
      <c r="K319">
        <v>0.1159</v>
      </c>
      <c r="L319">
        <v>19</v>
      </c>
      <c r="M319" t="s">
        <v>16</v>
      </c>
      <c r="N319" t="s">
        <v>17</v>
      </c>
      <c r="O319" s="3">
        <v>37922</v>
      </c>
      <c r="P319" s="3">
        <v>44478</v>
      </c>
      <c r="Q319" s="1">
        <v>0.46261211567732119</v>
      </c>
      <c r="R319" s="7">
        <v>17.961643835616439</v>
      </c>
      <c r="S319">
        <v>4.5</v>
      </c>
      <c r="T319" s="2">
        <v>6.5817545205479453</v>
      </c>
      <c r="U319" t="s">
        <v>13</v>
      </c>
    </row>
    <row r="320" spans="1:21" hidden="1" x14ac:dyDescent="0.25">
      <c r="A320" t="s">
        <v>83</v>
      </c>
      <c r="B320">
        <v>35.925122000000002</v>
      </c>
      <c r="C320">
        <v>-97.278531000000001</v>
      </c>
      <c r="D320" t="s">
        <v>264</v>
      </c>
      <c r="E320" t="s">
        <v>240</v>
      </c>
      <c r="F320" t="s">
        <v>11</v>
      </c>
      <c r="G320" t="s">
        <v>222</v>
      </c>
      <c r="H320">
        <v>0</v>
      </c>
      <c r="I320" t="s">
        <v>15</v>
      </c>
      <c r="J320" t="s">
        <v>14</v>
      </c>
      <c r="K320" t="s">
        <v>15</v>
      </c>
      <c r="L320">
        <v>25</v>
      </c>
      <c r="M320" t="s">
        <v>16</v>
      </c>
      <c r="N320" t="s">
        <v>16</v>
      </c>
      <c r="O320" s="3">
        <v>37300</v>
      </c>
      <c r="P320" s="3">
        <v>44446</v>
      </c>
      <c r="Q320" s="1" t="s">
        <v>14</v>
      </c>
      <c r="R320" s="7">
        <v>19.578082191780823</v>
      </c>
      <c r="S320" t="s">
        <v>14</v>
      </c>
      <c r="T320" t="s">
        <v>14</v>
      </c>
      <c r="U320" t="s">
        <v>24</v>
      </c>
    </row>
    <row r="321" spans="1:21" hidden="1" x14ac:dyDescent="0.25">
      <c r="A321" t="s">
        <v>83</v>
      </c>
      <c r="B321">
        <v>35.925122000000002</v>
      </c>
      <c r="C321">
        <v>-97.278531000000001</v>
      </c>
      <c r="D321" t="s">
        <v>264</v>
      </c>
      <c r="E321" t="s">
        <v>240</v>
      </c>
      <c r="F321" t="s">
        <v>11</v>
      </c>
      <c r="G321" t="s">
        <v>224</v>
      </c>
      <c r="H321">
        <v>0</v>
      </c>
      <c r="I321" t="s">
        <v>15</v>
      </c>
      <c r="J321" t="s">
        <v>14</v>
      </c>
      <c r="K321" t="s">
        <v>15</v>
      </c>
      <c r="L321">
        <v>20</v>
      </c>
      <c r="M321" t="s">
        <v>16</v>
      </c>
      <c r="N321" t="s">
        <v>17</v>
      </c>
      <c r="O321" s="3">
        <v>37382</v>
      </c>
      <c r="P321" s="3">
        <v>44446</v>
      </c>
      <c r="Q321" s="1" t="s">
        <v>14</v>
      </c>
      <c r="R321" s="7">
        <v>19.353424657534248</v>
      </c>
      <c r="S321" t="s">
        <v>14</v>
      </c>
      <c r="T321" t="s">
        <v>14</v>
      </c>
      <c r="U321" t="s">
        <v>19</v>
      </c>
    </row>
    <row r="322" spans="1:21" hidden="1" x14ac:dyDescent="0.25">
      <c r="A322" t="s">
        <v>83</v>
      </c>
      <c r="B322">
        <v>35.925122000000002</v>
      </c>
      <c r="C322">
        <v>-97.278531000000001</v>
      </c>
      <c r="D322" t="s">
        <v>264</v>
      </c>
      <c r="E322" t="s">
        <v>240</v>
      </c>
      <c r="F322" t="s">
        <v>11</v>
      </c>
      <c r="G322" t="s">
        <v>225</v>
      </c>
      <c r="H322">
        <v>3</v>
      </c>
      <c r="I322" t="s">
        <v>23</v>
      </c>
      <c r="J322" t="s">
        <v>22</v>
      </c>
      <c r="K322" s="2">
        <v>1.7310000000000001</v>
      </c>
      <c r="L322">
        <v>20</v>
      </c>
      <c r="M322" t="s">
        <v>16</v>
      </c>
      <c r="N322" t="s">
        <v>17</v>
      </c>
      <c r="O322" s="3">
        <v>37200</v>
      </c>
      <c r="P322" s="3">
        <v>45228</v>
      </c>
      <c r="Q322" s="1">
        <v>0.12086512720156554</v>
      </c>
      <c r="R322" s="7">
        <v>21.994520547945207</v>
      </c>
      <c r="S322">
        <v>315</v>
      </c>
      <c r="T322" s="2">
        <v>353.07251506849315</v>
      </c>
      <c r="U322" t="s">
        <v>21</v>
      </c>
    </row>
    <row r="323" spans="1:21" hidden="1" x14ac:dyDescent="0.25">
      <c r="A323" t="s">
        <v>83</v>
      </c>
      <c r="B323">
        <v>35.925122000000002</v>
      </c>
      <c r="C323">
        <v>-97.278531000000001</v>
      </c>
      <c r="D323" t="s">
        <v>264</v>
      </c>
      <c r="E323" t="s">
        <v>240</v>
      </c>
      <c r="F323" t="s">
        <v>11</v>
      </c>
      <c r="G323" t="s">
        <v>223</v>
      </c>
      <c r="H323">
        <v>0</v>
      </c>
      <c r="I323" t="s">
        <v>15</v>
      </c>
      <c r="J323" t="s">
        <v>14</v>
      </c>
      <c r="K323" t="s">
        <v>15</v>
      </c>
      <c r="L323">
        <v>21</v>
      </c>
      <c r="M323" t="s">
        <v>16</v>
      </c>
      <c r="N323" t="s">
        <v>17</v>
      </c>
      <c r="O323" s="3">
        <v>37300</v>
      </c>
      <c r="P323" s="3">
        <v>44446</v>
      </c>
      <c r="Q323" s="1" t="s">
        <v>14</v>
      </c>
      <c r="R323" s="7">
        <v>19.578082191780823</v>
      </c>
      <c r="S323" t="s">
        <v>14</v>
      </c>
      <c r="T323" t="s">
        <v>14</v>
      </c>
      <c r="U323" t="s">
        <v>24</v>
      </c>
    </row>
    <row r="324" spans="1:21" hidden="1" x14ac:dyDescent="0.25">
      <c r="A324" t="s">
        <v>83</v>
      </c>
      <c r="B324">
        <v>35.925122000000002</v>
      </c>
      <c r="C324">
        <v>-97.278531000000001</v>
      </c>
      <c r="D324" t="s">
        <v>264</v>
      </c>
      <c r="E324" t="s">
        <v>240</v>
      </c>
      <c r="F324" t="s">
        <v>11</v>
      </c>
      <c r="G324" t="s">
        <v>226</v>
      </c>
      <c r="H324">
        <v>-3</v>
      </c>
      <c r="I324" t="s">
        <v>29</v>
      </c>
      <c r="J324" s="4" t="s">
        <v>32</v>
      </c>
      <c r="K324">
        <v>-0.3664</v>
      </c>
      <c r="L324">
        <v>17</v>
      </c>
      <c r="M324" t="s">
        <v>16</v>
      </c>
      <c r="N324" t="s">
        <v>17</v>
      </c>
      <c r="O324" s="3">
        <v>37300</v>
      </c>
      <c r="P324" s="3">
        <v>44481</v>
      </c>
      <c r="Q324" s="1">
        <v>-0.62682987492555098</v>
      </c>
      <c r="R324" s="7">
        <v>19.673972602739727</v>
      </c>
      <c r="S324">
        <v>11.5</v>
      </c>
      <c r="T324" s="2">
        <v>4.291456438356164</v>
      </c>
      <c r="U324" t="s">
        <v>27</v>
      </c>
    </row>
    <row r="325" spans="1:21" hidden="1" x14ac:dyDescent="0.25">
      <c r="A325" t="s">
        <v>84</v>
      </c>
      <c r="B325">
        <v>34.737366999999999</v>
      </c>
      <c r="C325">
        <v>-98.503450000000001</v>
      </c>
      <c r="D325" t="s">
        <v>255</v>
      </c>
      <c r="E325" t="s">
        <v>240</v>
      </c>
      <c r="F325" t="s">
        <v>11</v>
      </c>
      <c r="G325" t="s">
        <v>221</v>
      </c>
      <c r="H325">
        <v>0</v>
      </c>
      <c r="I325" t="s">
        <v>15</v>
      </c>
      <c r="J325" t="s">
        <v>14</v>
      </c>
      <c r="K325" t="s">
        <v>15</v>
      </c>
      <c r="L325">
        <v>30</v>
      </c>
      <c r="M325" t="s">
        <v>16</v>
      </c>
      <c r="N325" t="s">
        <v>17</v>
      </c>
      <c r="O325" s="3">
        <v>37480</v>
      </c>
      <c r="P325" s="3">
        <v>44872</v>
      </c>
      <c r="Q325" s="1" t="s">
        <v>14</v>
      </c>
      <c r="R325" s="7">
        <v>20.252054794520546</v>
      </c>
      <c r="S325" t="s">
        <v>14</v>
      </c>
      <c r="T325" t="s">
        <v>14</v>
      </c>
      <c r="U325" t="s">
        <v>13</v>
      </c>
    </row>
    <row r="326" spans="1:21" hidden="1" x14ac:dyDescent="0.25">
      <c r="A326" t="s">
        <v>84</v>
      </c>
      <c r="B326">
        <v>34.737366999999999</v>
      </c>
      <c r="C326">
        <v>-98.503450000000001</v>
      </c>
      <c r="D326" t="s">
        <v>255</v>
      </c>
      <c r="E326" t="s">
        <v>240</v>
      </c>
      <c r="F326" t="s">
        <v>11</v>
      </c>
      <c r="G326" t="s">
        <v>222</v>
      </c>
      <c r="H326">
        <v>1</v>
      </c>
      <c r="I326" t="s">
        <v>23</v>
      </c>
      <c r="J326" s="5" t="s">
        <v>40</v>
      </c>
      <c r="K326">
        <v>4.2160000000000001E-3</v>
      </c>
      <c r="L326">
        <v>35</v>
      </c>
      <c r="M326" t="s">
        <v>16</v>
      </c>
      <c r="N326" t="s">
        <v>17</v>
      </c>
      <c r="O326" s="3">
        <v>35900</v>
      </c>
      <c r="P326" s="3">
        <v>44916</v>
      </c>
      <c r="Q326" s="1">
        <v>0.17356829223744302</v>
      </c>
      <c r="R326" s="7">
        <v>24.701369863013699</v>
      </c>
      <c r="S326">
        <v>0.6</v>
      </c>
      <c r="T326" s="2">
        <v>0.70414097534246578</v>
      </c>
      <c r="U326" t="s">
        <v>24</v>
      </c>
    </row>
    <row r="327" spans="1:21" hidden="1" x14ac:dyDescent="0.25">
      <c r="A327" t="s">
        <v>84</v>
      </c>
      <c r="B327">
        <v>34.737366999999999</v>
      </c>
      <c r="C327">
        <v>-98.503450000000001</v>
      </c>
      <c r="D327" t="s">
        <v>255</v>
      </c>
      <c r="E327" t="s">
        <v>240</v>
      </c>
      <c r="F327" t="s">
        <v>11</v>
      </c>
      <c r="G327" t="s">
        <v>224</v>
      </c>
      <c r="H327">
        <v>0</v>
      </c>
      <c r="I327" t="s">
        <v>15</v>
      </c>
      <c r="J327" t="s">
        <v>14</v>
      </c>
      <c r="K327" t="s">
        <v>15</v>
      </c>
      <c r="L327">
        <v>30</v>
      </c>
      <c r="M327" t="s">
        <v>31</v>
      </c>
      <c r="N327" t="s">
        <v>17</v>
      </c>
      <c r="O327" s="3">
        <v>37202</v>
      </c>
      <c r="P327" s="3">
        <v>44872</v>
      </c>
      <c r="Q327" s="1" t="s">
        <v>14</v>
      </c>
      <c r="R327" s="7">
        <v>21.013698630136986</v>
      </c>
      <c r="S327" t="s">
        <v>14</v>
      </c>
      <c r="T327" t="s">
        <v>14</v>
      </c>
      <c r="U327" t="s">
        <v>19</v>
      </c>
    </row>
    <row r="328" spans="1:21" hidden="1" x14ac:dyDescent="0.25">
      <c r="A328" t="s">
        <v>84</v>
      </c>
      <c r="B328">
        <v>34.737366999999999</v>
      </c>
      <c r="C328">
        <v>-98.503450000000001</v>
      </c>
      <c r="D328" t="s">
        <v>255</v>
      </c>
      <c r="E328" t="s">
        <v>240</v>
      </c>
      <c r="F328" t="s">
        <v>11</v>
      </c>
      <c r="G328" t="s">
        <v>225</v>
      </c>
      <c r="H328">
        <v>0</v>
      </c>
      <c r="I328" t="s">
        <v>15</v>
      </c>
      <c r="J328" t="s">
        <v>14</v>
      </c>
      <c r="K328" s="2" t="s">
        <v>15</v>
      </c>
      <c r="L328">
        <v>41</v>
      </c>
      <c r="M328" t="s">
        <v>16</v>
      </c>
      <c r="N328" t="s">
        <v>17</v>
      </c>
      <c r="O328" s="3">
        <v>35900</v>
      </c>
      <c r="P328" s="3">
        <v>44838</v>
      </c>
      <c r="Q328" s="1" t="s">
        <v>14</v>
      </c>
      <c r="R328" s="7">
        <v>24.487671232876714</v>
      </c>
      <c r="S328" t="s">
        <v>14</v>
      </c>
      <c r="T328" t="s">
        <v>14</v>
      </c>
      <c r="U328" t="s">
        <v>21</v>
      </c>
    </row>
    <row r="329" spans="1:21" hidden="1" x14ac:dyDescent="0.25">
      <c r="A329" t="s">
        <v>84</v>
      </c>
      <c r="B329">
        <v>34.737366999999999</v>
      </c>
      <c r="C329">
        <v>-98.503450000000001</v>
      </c>
      <c r="D329" t="s">
        <v>255</v>
      </c>
      <c r="E329" t="s">
        <v>240</v>
      </c>
      <c r="F329" t="s">
        <v>11</v>
      </c>
      <c r="G329" t="s">
        <v>223</v>
      </c>
      <c r="H329">
        <v>0</v>
      </c>
      <c r="I329" t="s">
        <v>15</v>
      </c>
      <c r="J329" t="s">
        <v>14</v>
      </c>
      <c r="K329" t="s">
        <v>15</v>
      </c>
      <c r="L329">
        <v>36</v>
      </c>
      <c r="M329" t="s">
        <v>17</v>
      </c>
      <c r="N329" t="s">
        <v>17</v>
      </c>
      <c r="O329" s="3">
        <v>35900</v>
      </c>
      <c r="P329" s="3">
        <v>44872</v>
      </c>
      <c r="Q329" s="1" t="s">
        <v>14</v>
      </c>
      <c r="R329" s="7">
        <v>24.580821917808219</v>
      </c>
      <c r="S329" t="s">
        <v>14</v>
      </c>
      <c r="T329" t="s">
        <v>14</v>
      </c>
      <c r="U329" t="s">
        <v>24</v>
      </c>
    </row>
    <row r="330" spans="1:21" hidden="1" x14ac:dyDescent="0.25">
      <c r="A330" t="s">
        <v>84</v>
      </c>
      <c r="B330">
        <v>34.737366999999999</v>
      </c>
      <c r="C330">
        <v>-98.503450000000001</v>
      </c>
      <c r="D330" t="s">
        <v>255</v>
      </c>
      <c r="E330" t="s">
        <v>240</v>
      </c>
      <c r="F330" t="s">
        <v>11</v>
      </c>
      <c r="G330" t="s">
        <v>226</v>
      </c>
      <c r="H330">
        <v>-1</v>
      </c>
      <c r="I330" t="s">
        <v>29</v>
      </c>
      <c r="J330" s="5" t="s">
        <v>28</v>
      </c>
      <c r="K330">
        <v>-0.1066</v>
      </c>
      <c r="L330">
        <v>36</v>
      </c>
      <c r="M330" t="s">
        <v>16</v>
      </c>
      <c r="N330" t="s">
        <v>31</v>
      </c>
      <c r="O330" s="3">
        <v>37202</v>
      </c>
      <c r="P330" s="3">
        <v>44910</v>
      </c>
      <c r="Q330" s="1">
        <v>-0.34633205479452056</v>
      </c>
      <c r="R330" s="7">
        <v>21.117808219178084</v>
      </c>
      <c r="S330">
        <v>6.5</v>
      </c>
      <c r="T330" s="2">
        <v>4.2488416438356165</v>
      </c>
      <c r="U330" t="s">
        <v>27</v>
      </c>
    </row>
    <row r="331" spans="1:21" hidden="1" x14ac:dyDescent="0.25">
      <c r="A331" t="s">
        <v>85</v>
      </c>
      <c r="B331">
        <v>35.804327999999998</v>
      </c>
      <c r="C331">
        <v>-97.466700000000003</v>
      </c>
      <c r="D331" t="s">
        <v>264</v>
      </c>
      <c r="E331" t="s">
        <v>240</v>
      </c>
      <c r="F331" t="s">
        <v>11</v>
      </c>
      <c r="G331" t="s">
        <v>221</v>
      </c>
      <c r="H331">
        <v>1</v>
      </c>
      <c r="I331" t="s">
        <v>23</v>
      </c>
      <c r="J331" s="5" t="s">
        <v>40</v>
      </c>
      <c r="K331">
        <v>1.5880000000000001</v>
      </c>
      <c r="L331">
        <v>18</v>
      </c>
      <c r="M331" t="s">
        <v>16</v>
      </c>
      <c r="N331" t="s">
        <v>17</v>
      </c>
      <c r="O331" s="3">
        <v>37909</v>
      </c>
      <c r="P331" s="3">
        <v>44846</v>
      </c>
      <c r="Q331" s="1">
        <v>2.0120467579908676</v>
      </c>
      <c r="R331" s="7">
        <v>19.005479452054793</v>
      </c>
      <c r="S331">
        <v>15</v>
      </c>
      <c r="T331" s="2">
        <v>45.180701369863016</v>
      </c>
      <c r="U331" t="s">
        <v>13</v>
      </c>
    </row>
    <row r="332" spans="1:21" hidden="1" x14ac:dyDescent="0.25">
      <c r="A332" t="s">
        <v>85</v>
      </c>
      <c r="B332">
        <v>35.804327999999998</v>
      </c>
      <c r="C332">
        <v>-97.466700000000003</v>
      </c>
      <c r="D332" t="s">
        <v>264</v>
      </c>
      <c r="E332" t="s">
        <v>240</v>
      </c>
      <c r="F332" t="s">
        <v>11</v>
      </c>
      <c r="G332" t="s">
        <v>222</v>
      </c>
      <c r="H332">
        <v>3</v>
      </c>
      <c r="I332" t="s">
        <v>23</v>
      </c>
      <c r="J332" s="4" t="s">
        <v>22</v>
      </c>
      <c r="K332">
        <v>1.9300000000000001E-2</v>
      </c>
      <c r="L332">
        <v>28</v>
      </c>
      <c r="M332" t="s">
        <v>16</v>
      </c>
      <c r="N332" t="s">
        <v>17</v>
      </c>
      <c r="O332" s="3">
        <v>35956</v>
      </c>
      <c r="P332" s="3">
        <v>44846</v>
      </c>
      <c r="Q332" s="1">
        <v>0.67153424657534244</v>
      </c>
      <c r="R332" s="7">
        <v>24.356164383561644</v>
      </c>
      <c r="S332">
        <v>0.7</v>
      </c>
      <c r="T332" s="2">
        <v>1.1700739726027396</v>
      </c>
      <c r="U332" t="s">
        <v>24</v>
      </c>
    </row>
    <row r="333" spans="1:21" hidden="1" x14ac:dyDescent="0.25">
      <c r="A333" t="s">
        <v>85</v>
      </c>
      <c r="B333">
        <v>35.804327999999998</v>
      </c>
      <c r="C333">
        <v>-97.466700000000003</v>
      </c>
      <c r="D333" t="s">
        <v>264</v>
      </c>
      <c r="E333" t="s">
        <v>240</v>
      </c>
      <c r="F333" t="s">
        <v>11</v>
      </c>
      <c r="G333" t="s">
        <v>224</v>
      </c>
      <c r="H333">
        <v>0</v>
      </c>
      <c r="I333" t="s">
        <v>15</v>
      </c>
      <c r="J333" t="s">
        <v>14</v>
      </c>
      <c r="K333" t="s">
        <v>15</v>
      </c>
      <c r="L333">
        <v>18</v>
      </c>
      <c r="M333" t="s">
        <v>16</v>
      </c>
      <c r="N333" t="s">
        <v>33</v>
      </c>
      <c r="O333" s="3">
        <v>37200</v>
      </c>
      <c r="P333" s="3">
        <v>44846</v>
      </c>
      <c r="Q333" s="1" t="s">
        <v>14</v>
      </c>
      <c r="R333" s="7">
        <v>20.947945205479453</v>
      </c>
      <c r="S333" t="s">
        <v>14</v>
      </c>
      <c r="T333" t="s">
        <v>14</v>
      </c>
      <c r="U333" t="s">
        <v>19</v>
      </c>
    </row>
    <row r="334" spans="1:21" hidden="1" x14ac:dyDescent="0.25">
      <c r="A334" t="s">
        <v>85</v>
      </c>
      <c r="B334">
        <v>35.804327999999998</v>
      </c>
      <c r="C334">
        <v>-97.466700000000003</v>
      </c>
      <c r="D334" t="s">
        <v>264</v>
      </c>
      <c r="E334" t="s">
        <v>240</v>
      </c>
      <c r="F334" t="s">
        <v>11</v>
      </c>
      <c r="G334" t="s">
        <v>225</v>
      </c>
      <c r="H334">
        <v>1</v>
      </c>
      <c r="I334" t="s">
        <v>23</v>
      </c>
      <c r="J334" t="s">
        <v>40</v>
      </c>
      <c r="K334" s="2">
        <v>5.7910000000000004</v>
      </c>
      <c r="L334">
        <v>22</v>
      </c>
      <c r="M334" t="s">
        <v>16</v>
      </c>
      <c r="N334" t="s">
        <v>17</v>
      </c>
      <c r="O334" s="3">
        <v>35956</v>
      </c>
      <c r="P334" s="3">
        <v>44816</v>
      </c>
      <c r="Q334" s="1">
        <v>0.34285506181089209</v>
      </c>
      <c r="R334" s="7">
        <v>24.273972602739725</v>
      </c>
      <c r="S334">
        <v>410</v>
      </c>
      <c r="T334" s="2">
        <v>550.57057534246576</v>
      </c>
      <c r="U334" t="s">
        <v>21</v>
      </c>
    </row>
    <row r="335" spans="1:21" hidden="1" x14ac:dyDescent="0.25">
      <c r="A335" t="s">
        <v>85</v>
      </c>
      <c r="B335">
        <v>35.804327999999998</v>
      </c>
      <c r="C335">
        <v>-97.466700000000003</v>
      </c>
      <c r="D335" t="s">
        <v>264</v>
      </c>
      <c r="E335" t="s">
        <v>240</v>
      </c>
      <c r="F335" t="s">
        <v>11</v>
      </c>
      <c r="G335" t="s">
        <v>223</v>
      </c>
      <c r="H335">
        <v>3</v>
      </c>
      <c r="I335" t="s">
        <v>23</v>
      </c>
      <c r="J335" s="4" t="s">
        <v>22</v>
      </c>
      <c r="K335">
        <v>9.5509999999999996E-4</v>
      </c>
      <c r="L335">
        <v>28</v>
      </c>
      <c r="M335" t="s">
        <v>16</v>
      </c>
      <c r="N335" t="s">
        <v>17</v>
      </c>
      <c r="O335" s="3">
        <v>35956</v>
      </c>
      <c r="P335" s="3">
        <v>44846</v>
      </c>
      <c r="Q335" s="1">
        <v>0.59647622058306982</v>
      </c>
      <c r="R335" s="7">
        <v>24.356164383561644</v>
      </c>
      <c r="S335">
        <v>3.9E-2</v>
      </c>
      <c r="T335" s="2">
        <v>6.2262572602739721E-2</v>
      </c>
      <c r="U335" t="s">
        <v>24</v>
      </c>
    </row>
    <row r="336" spans="1:21" hidden="1" x14ac:dyDescent="0.25">
      <c r="A336" t="s">
        <v>85</v>
      </c>
      <c r="B336">
        <v>35.804327999999998</v>
      </c>
      <c r="C336">
        <v>-97.466700000000003</v>
      </c>
      <c r="D336" t="s">
        <v>264</v>
      </c>
      <c r="E336" t="s">
        <v>240</v>
      </c>
      <c r="F336" t="s">
        <v>11</v>
      </c>
      <c r="G336" t="s">
        <v>226</v>
      </c>
      <c r="H336">
        <v>0</v>
      </c>
      <c r="I336" t="s">
        <v>15</v>
      </c>
      <c r="J336" t="s">
        <v>14</v>
      </c>
      <c r="K336" t="s">
        <v>15</v>
      </c>
      <c r="L336">
        <v>22</v>
      </c>
      <c r="M336" t="s">
        <v>16</v>
      </c>
      <c r="N336" t="s">
        <v>17</v>
      </c>
      <c r="O336" s="3">
        <v>37200</v>
      </c>
      <c r="P336" s="3">
        <v>44846</v>
      </c>
      <c r="Q336" s="1" t="s">
        <v>14</v>
      </c>
      <c r="R336" s="7">
        <v>20.947945205479453</v>
      </c>
      <c r="S336" t="s">
        <v>14</v>
      </c>
      <c r="T336" t="s">
        <v>14</v>
      </c>
      <c r="U336" t="s">
        <v>27</v>
      </c>
    </row>
    <row r="337" spans="1:21" hidden="1" x14ac:dyDescent="0.25">
      <c r="A337" t="s">
        <v>86</v>
      </c>
      <c r="B337">
        <v>36.255375000000001</v>
      </c>
      <c r="C337">
        <v>-96.825731000000005</v>
      </c>
      <c r="D337" t="s">
        <v>95</v>
      </c>
      <c r="E337" t="s">
        <v>240</v>
      </c>
      <c r="F337" t="s">
        <v>11</v>
      </c>
      <c r="G337" t="s">
        <v>221</v>
      </c>
      <c r="H337">
        <v>1</v>
      </c>
      <c r="I337" t="s">
        <v>23</v>
      </c>
      <c r="J337" s="5" t="s">
        <v>40</v>
      </c>
      <c r="K337">
        <v>0.24940000000000001</v>
      </c>
      <c r="L337">
        <v>26</v>
      </c>
      <c r="M337" t="s">
        <v>16</v>
      </c>
      <c r="N337" t="s">
        <v>17</v>
      </c>
      <c r="O337" s="3">
        <v>37902</v>
      </c>
      <c r="P337" s="3">
        <v>44893</v>
      </c>
      <c r="Q337" s="1">
        <v>0.5971080136986302</v>
      </c>
      <c r="R337" s="7">
        <v>19.153424657534245</v>
      </c>
      <c r="S337">
        <v>8</v>
      </c>
      <c r="T337" s="2">
        <v>12.776864109589042</v>
      </c>
      <c r="U337" t="s">
        <v>13</v>
      </c>
    </row>
    <row r="338" spans="1:21" hidden="1" x14ac:dyDescent="0.25">
      <c r="A338" t="s">
        <v>86</v>
      </c>
      <c r="B338">
        <v>36.255375000000001</v>
      </c>
      <c r="C338">
        <v>-96.825731000000005</v>
      </c>
      <c r="D338" t="s">
        <v>95</v>
      </c>
      <c r="E338" t="s">
        <v>240</v>
      </c>
      <c r="F338" t="s">
        <v>11</v>
      </c>
      <c r="G338" t="s">
        <v>222</v>
      </c>
      <c r="H338">
        <v>3</v>
      </c>
      <c r="I338" t="s">
        <v>23</v>
      </c>
      <c r="J338" s="4" t="s">
        <v>22</v>
      </c>
      <c r="K338">
        <v>1.519E-2</v>
      </c>
      <c r="L338">
        <v>30</v>
      </c>
      <c r="M338" t="s">
        <v>16</v>
      </c>
      <c r="N338" t="s">
        <v>16</v>
      </c>
      <c r="O338" s="3">
        <v>37195</v>
      </c>
      <c r="P338" s="3">
        <v>44893</v>
      </c>
      <c r="Q338" s="1">
        <v>0.4576619178082193</v>
      </c>
      <c r="R338" s="7">
        <v>21.090410958904108</v>
      </c>
      <c r="S338">
        <v>0.7</v>
      </c>
      <c r="T338" s="2">
        <v>1.0203633424657534</v>
      </c>
      <c r="U338" t="s">
        <v>24</v>
      </c>
    </row>
    <row r="339" spans="1:21" hidden="1" x14ac:dyDescent="0.25">
      <c r="A339" t="s">
        <v>86</v>
      </c>
      <c r="B339">
        <v>36.255375000000001</v>
      </c>
      <c r="C339">
        <v>-96.825731000000005</v>
      </c>
      <c r="D339" t="s">
        <v>95</v>
      </c>
      <c r="E339" t="s">
        <v>240</v>
      </c>
      <c r="F339" t="s">
        <v>11</v>
      </c>
      <c r="G339" t="s">
        <v>224</v>
      </c>
      <c r="H339">
        <v>-1</v>
      </c>
      <c r="I339" t="s">
        <v>29</v>
      </c>
      <c r="J339" s="5" t="s">
        <v>28</v>
      </c>
      <c r="K339">
        <v>-0.59870000000000001</v>
      </c>
      <c r="L339">
        <v>26</v>
      </c>
      <c r="M339" t="s">
        <v>31</v>
      </c>
      <c r="N339" t="s">
        <v>17</v>
      </c>
      <c r="O339" s="3">
        <v>37902</v>
      </c>
      <c r="P339" s="3">
        <v>44893</v>
      </c>
      <c r="Q339" s="1">
        <v>-0.17115157227560823</v>
      </c>
      <c r="R339" s="7">
        <v>19.153424657534245</v>
      </c>
      <c r="S339">
        <v>67</v>
      </c>
      <c r="T339" s="2">
        <v>55.532844657534248</v>
      </c>
      <c r="U339" t="s">
        <v>19</v>
      </c>
    </row>
    <row r="340" spans="1:21" hidden="1" x14ac:dyDescent="0.25">
      <c r="A340" t="s">
        <v>86</v>
      </c>
      <c r="B340">
        <v>36.255375000000001</v>
      </c>
      <c r="C340">
        <v>-96.825731000000005</v>
      </c>
      <c r="D340" t="s">
        <v>95</v>
      </c>
      <c r="E340" t="s">
        <v>240</v>
      </c>
      <c r="F340" t="s">
        <v>11</v>
      </c>
      <c r="G340" t="s">
        <v>225</v>
      </c>
      <c r="H340">
        <v>3</v>
      </c>
      <c r="I340" t="s">
        <v>23</v>
      </c>
      <c r="J340" t="s">
        <v>22</v>
      </c>
      <c r="K340" s="2">
        <v>4.4640000000000004</v>
      </c>
      <c r="L340">
        <v>27</v>
      </c>
      <c r="M340" t="s">
        <v>16</v>
      </c>
      <c r="N340" t="s">
        <v>31</v>
      </c>
      <c r="O340" s="3">
        <v>37195</v>
      </c>
      <c r="P340" s="3">
        <v>44890</v>
      </c>
      <c r="Q340" s="1">
        <v>0.45907758102238566</v>
      </c>
      <c r="R340" s="7">
        <v>21.082191780821919</v>
      </c>
      <c r="S340">
        <v>205</v>
      </c>
      <c r="T340" s="2">
        <v>299.11090410958906</v>
      </c>
      <c r="U340" t="s">
        <v>21</v>
      </c>
    </row>
    <row r="341" spans="1:21" hidden="1" x14ac:dyDescent="0.25">
      <c r="A341" t="s">
        <v>86</v>
      </c>
      <c r="B341">
        <v>36.255375000000001</v>
      </c>
      <c r="C341">
        <v>-96.825731000000005</v>
      </c>
      <c r="D341" t="s">
        <v>95</v>
      </c>
      <c r="E341" t="s">
        <v>240</v>
      </c>
      <c r="F341" t="s">
        <v>11</v>
      </c>
      <c r="G341" t="s">
        <v>223</v>
      </c>
      <c r="H341">
        <v>0</v>
      </c>
      <c r="I341" t="s">
        <v>15</v>
      </c>
      <c r="J341" t="s">
        <v>14</v>
      </c>
      <c r="K341" t="s">
        <v>15</v>
      </c>
      <c r="L341">
        <v>30</v>
      </c>
      <c r="M341" t="s">
        <v>16</v>
      </c>
      <c r="N341" t="s">
        <v>31</v>
      </c>
      <c r="O341" s="3">
        <v>37195</v>
      </c>
      <c r="P341" s="3">
        <v>44893</v>
      </c>
      <c r="Q341" s="1" t="s">
        <v>14</v>
      </c>
      <c r="R341" s="7">
        <v>21.090410958904108</v>
      </c>
      <c r="S341" t="s">
        <v>14</v>
      </c>
      <c r="T341" t="s">
        <v>14</v>
      </c>
      <c r="U341" t="s">
        <v>24</v>
      </c>
    </row>
    <row r="342" spans="1:21" hidden="1" x14ac:dyDescent="0.25">
      <c r="A342" t="s">
        <v>86</v>
      </c>
      <c r="B342">
        <v>36.255375000000001</v>
      </c>
      <c r="C342">
        <v>-96.825731000000005</v>
      </c>
      <c r="D342" t="s">
        <v>95</v>
      </c>
      <c r="E342" t="s">
        <v>240</v>
      </c>
      <c r="F342" t="s">
        <v>11</v>
      </c>
      <c r="G342" t="s">
        <v>226</v>
      </c>
      <c r="H342">
        <v>0</v>
      </c>
      <c r="I342" t="s">
        <v>15</v>
      </c>
      <c r="J342" t="s">
        <v>14</v>
      </c>
      <c r="K342" t="s">
        <v>15</v>
      </c>
      <c r="L342">
        <v>30</v>
      </c>
      <c r="M342" t="s">
        <v>33</v>
      </c>
      <c r="N342" t="s">
        <v>17</v>
      </c>
      <c r="O342" s="3">
        <v>37195</v>
      </c>
      <c r="P342" s="3">
        <v>44893</v>
      </c>
      <c r="Q342" s="1" t="s">
        <v>14</v>
      </c>
      <c r="R342" s="7">
        <v>21.090410958904108</v>
      </c>
      <c r="S342" t="s">
        <v>14</v>
      </c>
      <c r="T342" t="s">
        <v>14</v>
      </c>
      <c r="U342" t="s">
        <v>27</v>
      </c>
    </row>
    <row r="343" spans="1:21" hidden="1" x14ac:dyDescent="0.25">
      <c r="A343" t="s">
        <v>87</v>
      </c>
      <c r="B343">
        <v>35.018469000000003</v>
      </c>
      <c r="C343">
        <v>-95.804355999999999</v>
      </c>
      <c r="D343" t="s">
        <v>272</v>
      </c>
      <c r="E343" t="s">
        <v>240</v>
      </c>
      <c r="F343" t="s">
        <v>11</v>
      </c>
      <c r="G343" t="s">
        <v>221</v>
      </c>
      <c r="H343">
        <v>2</v>
      </c>
      <c r="I343" t="s">
        <v>23</v>
      </c>
      <c r="J343" s="4" t="s">
        <v>38</v>
      </c>
      <c r="K343">
        <v>0.21390000000000001</v>
      </c>
      <c r="L343">
        <v>35</v>
      </c>
      <c r="M343" t="s">
        <v>16</v>
      </c>
      <c r="N343" t="s">
        <v>17</v>
      </c>
      <c r="O343" s="3">
        <v>37782</v>
      </c>
      <c r="P343" s="3">
        <v>44930</v>
      </c>
      <c r="Q343" s="1">
        <v>1.0472309589041098</v>
      </c>
      <c r="R343" s="7">
        <v>19.583561643835615</v>
      </c>
      <c r="S343">
        <v>4</v>
      </c>
      <c r="T343" s="2">
        <v>8.1889238356164391</v>
      </c>
      <c r="U343" t="s">
        <v>13</v>
      </c>
    </row>
    <row r="344" spans="1:21" hidden="1" x14ac:dyDescent="0.25">
      <c r="A344" t="s">
        <v>87</v>
      </c>
      <c r="B344">
        <v>35.018469000000003</v>
      </c>
      <c r="C344">
        <v>-95.804355999999999</v>
      </c>
      <c r="D344" t="s">
        <v>272</v>
      </c>
      <c r="E344" t="s">
        <v>240</v>
      </c>
      <c r="F344" t="s">
        <v>11</v>
      </c>
      <c r="G344" t="s">
        <v>222</v>
      </c>
      <c r="H344">
        <v>3</v>
      </c>
      <c r="I344" t="s">
        <v>23</v>
      </c>
      <c r="J344" s="4" t="s">
        <v>22</v>
      </c>
      <c r="K344">
        <v>1.0449999999999999E-2</v>
      </c>
      <c r="L344">
        <v>41</v>
      </c>
      <c r="M344" t="s">
        <v>16</v>
      </c>
      <c r="N344" t="s">
        <v>17</v>
      </c>
      <c r="O344" s="3">
        <v>35976</v>
      </c>
      <c r="P344" s="3">
        <v>44895</v>
      </c>
      <c r="Q344" s="1">
        <v>0.34046958904109587</v>
      </c>
      <c r="R344" s="7">
        <v>24.435616438356163</v>
      </c>
      <c r="S344">
        <v>0.75</v>
      </c>
      <c r="T344" s="2">
        <v>1.0053521917808219</v>
      </c>
      <c r="U344" t="s">
        <v>24</v>
      </c>
    </row>
    <row r="345" spans="1:21" hidden="1" x14ac:dyDescent="0.25">
      <c r="A345" t="s">
        <v>87</v>
      </c>
      <c r="B345">
        <v>35.018469000000003</v>
      </c>
      <c r="C345">
        <v>-95.804355999999999</v>
      </c>
      <c r="D345" t="s">
        <v>272</v>
      </c>
      <c r="E345" t="s">
        <v>240</v>
      </c>
      <c r="F345" t="s">
        <v>11</v>
      </c>
      <c r="G345" t="s">
        <v>224</v>
      </c>
      <c r="H345">
        <v>0</v>
      </c>
      <c r="I345" t="s">
        <v>15</v>
      </c>
      <c r="J345" t="s">
        <v>14</v>
      </c>
      <c r="K345" t="s">
        <v>15</v>
      </c>
      <c r="L345">
        <v>26</v>
      </c>
      <c r="M345" t="s">
        <v>16</v>
      </c>
      <c r="N345" t="s">
        <v>17</v>
      </c>
      <c r="O345" s="3">
        <v>36822</v>
      </c>
      <c r="P345" s="3">
        <v>44895</v>
      </c>
      <c r="Q345" s="1" t="s">
        <v>14</v>
      </c>
      <c r="R345" s="7">
        <v>22.117808219178084</v>
      </c>
      <c r="S345" t="s">
        <v>14</v>
      </c>
      <c r="T345" t="s">
        <v>14</v>
      </c>
      <c r="U345" t="s">
        <v>19</v>
      </c>
    </row>
    <row r="346" spans="1:21" hidden="1" x14ac:dyDescent="0.25">
      <c r="A346" t="s">
        <v>87</v>
      </c>
      <c r="B346">
        <v>35.018469000000003</v>
      </c>
      <c r="C346">
        <v>-95.804355999999999</v>
      </c>
      <c r="D346" t="s">
        <v>272</v>
      </c>
      <c r="E346" t="s">
        <v>240</v>
      </c>
      <c r="F346" t="s">
        <v>11</v>
      </c>
      <c r="G346" t="s">
        <v>225</v>
      </c>
      <c r="H346">
        <v>3</v>
      </c>
      <c r="I346" t="s">
        <v>23</v>
      </c>
      <c r="J346" t="s">
        <v>22</v>
      </c>
      <c r="K346" s="2">
        <v>2.3149999999999999</v>
      </c>
      <c r="L346">
        <v>40</v>
      </c>
      <c r="M346" t="s">
        <v>16</v>
      </c>
      <c r="N346" t="s">
        <v>17</v>
      </c>
      <c r="O346" s="3">
        <v>36824</v>
      </c>
      <c r="P346" s="3">
        <v>44895</v>
      </c>
      <c r="Q346" s="1">
        <v>0.68253388127853876</v>
      </c>
      <c r="R346" s="7">
        <v>22.112328767123287</v>
      </c>
      <c r="S346">
        <v>75</v>
      </c>
      <c r="T346" s="2">
        <v>126.19004109589041</v>
      </c>
      <c r="U346" t="s">
        <v>21</v>
      </c>
    </row>
    <row r="347" spans="1:21" hidden="1" x14ac:dyDescent="0.25">
      <c r="A347" t="s">
        <v>87</v>
      </c>
      <c r="B347">
        <v>35.018469000000003</v>
      </c>
      <c r="C347">
        <v>-95.804355999999999</v>
      </c>
      <c r="D347" t="s">
        <v>272</v>
      </c>
      <c r="E347" t="s">
        <v>240</v>
      </c>
      <c r="F347" t="s">
        <v>11</v>
      </c>
      <c r="G347" t="s">
        <v>223</v>
      </c>
      <c r="H347">
        <v>0</v>
      </c>
      <c r="I347" t="s">
        <v>15</v>
      </c>
      <c r="J347" t="s">
        <v>14</v>
      </c>
      <c r="K347" t="s">
        <v>15</v>
      </c>
      <c r="L347">
        <v>41</v>
      </c>
      <c r="M347" t="s">
        <v>16</v>
      </c>
      <c r="N347" t="s">
        <v>17</v>
      </c>
      <c r="O347" s="3">
        <v>35976</v>
      </c>
      <c r="P347" s="3">
        <v>44895</v>
      </c>
      <c r="Q347" s="1" t="s">
        <v>14</v>
      </c>
      <c r="R347" s="7">
        <v>24.435616438356163</v>
      </c>
      <c r="S347" t="s">
        <v>14</v>
      </c>
      <c r="T347" t="s">
        <v>14</v>
      </c>
      <c r="U347" t="s">
        <v>24</v>
      </c>
    </row>
    <row r="348" spans="1:21" hidden="1" x14ac:dyDescent="0.25">
      <c r="A348" t="s">
        <v>87</v>
      </c>
      <c r="B348">
        <v>35.018469000000003</v>
      </c>
      <c r="C348">
        <v>-95.804355999999999</v>
      </c>
      <c r="D348" t="s">
        <v>272</v>
      </c>
      <c r="E348" t="s">
        <v>240</v>
      </c>
      <c r="F348" t="s">
        <v>11</v>
      </c>
      <c r="G348" t="s">
        <v>226</v>
      </c>
      <c r="H348">
        <v>0</v>
      </c>
      <c r="I348" t="s">
        <v>15</v>
      </c>
      <c r="J348" t="s">
        <v>14</v>
      </c>
      <c r="K348" t="s">
        <v>15</v>
      </c>
      <c r="L348">
        <v>25</v>
      </c>
      <c r="M348" t="s">
        <v>16</v>
      </c>
      <c r="N348" t="s">
        <v>17</v>
      </c>
      <c r="O348" s="3">
        <v>36822</v>
      </c>
      <c r="P348" s="3">
        <v>44895</v>
      </c>
      <c r="Q348" s="1" t="s">
        <v>14</v>
      </c>
      <c r="R348" s="7">
        <v>22.117808219178084</v>
      </c>
      <c r="S348" t="s">
        <v>14</v>
      </c>
      <c r="T348" t="s">
        <v>14</v>
      </c>
      <c r="U348" t="s">
        <v>27</v>
      </c>
    </row>
    <row r="349" spans="1:21" hidden="1" x14ac:dyDescent="0.25">
      <c r="A349" t="s">
        <v>88</v>
      </c>
      <c r="B349">
        <v>34.313364</v>
      </c>
      <c r="C349">
        <v>-95.874431000000001</v>
      </c>
      <c r="D349" t="s">
        <v>36</v>
      </c>
      <c r="E349" t="s">
        <v>240</v>
      </c>
      <c r="F349" t="s">
        <v>11</v>
      </c>
      <c r="G349" t="s">
        <v>221</v>
      </c>
      <c r="H349">
        <v>2</v>
      </c>
      <c r="I349" t="s">
        <v>23</v>
      </c>
      <c r="J349" s="4" t="s">
        <v>38</v>
      </c>
      <c r="K349">
        <v>0.26129999999999998</v>
      </c>
      <c r="L349">
        <v>27</v>
      </c>
      <c r="M349" t="s">
        <v>16</v>
      </c>
      <c r="N349" t="s">
        <v>17</v>
      </c>
      <c r="O349" s="3">
        <v>37474</v>
      </c>
      <c r="P349" s="3">
        <v>43896</v>
      </c>
      <c r="Q349" s="1">
        <v>2.2987241095890409</v>
      </c>
      <c r="R349" s="7">
        <v>17.594520547945205</v>
      </c>
      <c r="S349">
        <v>2</v>
      </c>
      <c r="T349" s="2">
        <v>6.5974482191780819</v>
      </c>
      <c r="U349" t="s">
        <v>13</v>
      </c>
    </row>
    <row r="350" spans="1:21" hidden="1" x14ac:dyDescent="0.25">
      <c r="A350" t="s">
        <v>88</v>
      </c>
      <c r="B350">
        <v>34.313364</v>
      </c>
      <c r="C350">
        <v>-95.874431000000001</v>
      </c>
      <c r="D350" t="s">
        <v>36</v>
      </c>
      <c r="E350" t="s">
        <v>240</v>
      </c>
      <c r="F350" t="s">
        <v>11</v>
      </c>
      <c r="G350" t="s">
        <v>222</v>
      </c>
      <c r="H350">
        <v>2</v>
      </c>
      <c r="I350" t="s">
        <v>23</v>
      </c>
      <c r="J350" s="5" t="s">
        <v>38</v>
      </c>
      <c r="K350">
        <v>9.5709999999999996E-3</v>
      </c>
      <c r="L350">
        <v>31</v>
      </c>
      <c r="M350" t="s">
        <v>33</v>
      </c>
      <c r="N350" t="s">
        <v>17</v>
      </c>
      <c r="O350" s="3">
        <v>37201</v>
      </c>
      <c r="P350" s="3">
        <v>43865</v>
      </c>
      <c r="Q350" s="1">
        <v>0.40637874482319214</v>
      </c>
      <c r="R350" s="7">
        <v>18.257534246575343</v>
      </c>
      <c r="S350">
        <v>0.43</v>
      </c>
      <c r="T350" s="2">
        <v>0.60474286027397262</v>
      </c>
      <c r="U350" t="s">
        <v>24</v>
      </c>
    </row>
    <row r="351" spans="1:21" hidden="1" x14ac:dyDescent="0.25">
      <c r="A351" t="s">
        <v>88</v>
      </c>
      <c r="B351">
        <v>34.313364</v>
      </c>
      <c r="C351">
        <v>-95.874431000000001</v>
      </c>
      <c r="D351" t="s">
        <v>36</v>
      </c>
      <c r="E351" t="s">
        <v>240</v>
      </c>
      <c r="F351" t="s">
        <v>11</v>
      </c>
      <c r="G351" t="s">
        <v>224</v>
      </c>
      <c r="H351">
        <v>-3</v>
      </c>
      <c r="I351" t="s">
        <v>29</v>
      </c>
      <c r="J351" s="4" t="s">
        <v>32</v>
      </c>
      <c r="K351">
        <v>-5.0010000000000003</v>
      </c>
      <c r="L351">
        <v>20</v>
      </c>
      <c r="M351" t="s">
        <v>16</v>
      </c>
      <c r="N351" t="s">
        <v>17</v>
      </c>
      <c r="O351" s="3">
        <v>37914</v>
      </c>
      <c r="P351" s="3">
        <v>43865</v>
      </c>
      <c r="Q351" s="1">
        <v>-0.50960532534246583</v>
      </c>
      <c r="R351" s="7">
        <v>16.304109589041097</v>
      </c>
      <c r="S351">
        <v>160</v>
      </c>
      <c r="T351" s="2">
        <v>78.463147945205463</v>
      </c>
      <c r="U351" t="s">
        <v>19</v>
      </c>
    </row>
    <row r="352" spans="1:21" hidden="1" x14ac:dyDescent="0.25">
      <c r="A352" t="s">
        <v>88</v>
      </c>
      <c r="B352">
        <v>34.313364</v>
      </c>
      <c r="C352">
        <v>-95.874431000000001</v>
      </c>
      <c r="D352" t="s">
        <v>36</v>
      </c>
      <c r="E352" t="s">
        <v>240</v>
      </c>
      <c r="F352" t="s">
        <v>11</v>
      </c>
      <c r="G352" t="s">
        <v>225</v>
      </c>
      <c r="H352">
        <v>3</v>
      </c>
      <c r="I352" t="s">
        <v>23</v>
      </c>
      <c r="J352" t="s">
        <v>22</v>
      </c>
      <c r="K352" s="2">
        <v>0.98</v>
      </c>
      <c r="L352">
        <v>40</v>
      </c>
      <c r="M352" t="s">
        <v>16</v>
      </c>
      <c r="N352" t="s">
        <v>31</v>
      </c>
      <c r="O352" s="3">
        <v>35849</v>
      </c>
      <c r="P352" s="3">
        <v>45202</v>
      </c>
      <c r="Q352" s="1">
        <v>0.66084643114635921</v>
      </c>
      <c r="R352" s="7">
        <v>25.624657534246577</v>
      </c>
      <c r="S352">
        <v>38</v>
      </c>
      <c r="T352" s="2">
        <v>63.112164383561648</v>
      </c>
      <c r="U352" t="s">
        <v>21</v>
      </c>
    </row>
    <row r="353" spans="1:21" hidden="1" x14ac:dyDescent="0.25">
      <c r="A353" t="s">
        <v>88</v>
      </c>
      <c r="B353">
        <v>34.313364</v>
      </c>
      <c r="C353">
        <v>-95.874431000000001</v>
      </c>
      <c r="D353" t="s">
        <v>36</v>
      </c>
      <c r="E353" t="s">
        <v>240</v>
      </c>
      <c r="F353" t="s">
        <v>11</v>
      </c>
      <c r="G353" t="s">
        <v>223</v>
      </c>
      <c r="H353">
        <v>2</v>
      </c>
      <c r="I353" t="s">
        <v>23</v>
      </c>
      <c r="J353" s="5" t="s">
        <v>38</v>
      </c>
      <c r="K353">
        <v>4.6069999999999998E-4</v>
      </c>
      <c r="L353">
        <v>26</v>
      </c>
      <c r="M353" t="s">
        <v>16</v>
      </c>
      <c r="N353" t="s">
        <v>17</v>
      </c>
      <c r="O353" s="3">
        <v>37201</v>
      </c>
      <c r="P353" s="3">
        <v>43865</v>
      </c>
      <c r="Q353" s="1">
        <v>0.52570287671232885</v>
      </c>
      <c r="R353" s="7">
        <v>18.257534246575343</v>
      </c>
      <c r="S353">
        <v>1.6E-2</v>
      </c>
      <c r="T353" s="2">
        <v>2.4411246027397263E-2</v>
      </c>
      <c r="U353" t="s">
        <v>24</v>
      </c>
    </row>
    <row r="354" spans="1:21" hidden="1" x14ac:dyDescent="0.25">
      <c r="A354" t="s">
        <v>88</v>
      </c>
      <c r="B354">
        <v>34.313364</v>
      </c>
      <c r="C354">
        <v>-95.874431000000001</v>
      </c>
      <c r="D354" t="s">
        <v>36</v>
      </c>
      <c r="E354" t="s">
        <v>240</v>
      </c>
      <c r="F354" t="s">
        <v>11</v>
      </c>
      <c r="G354" t="s">
        <v>226</v>
      </c>
      <c r="H354">
        <v>1</v>
      </c>
      <c r="I354" t="s">
        <v>23</v>
      </c>
      <c r="J354" s="4" t="s">
        <v>40</v>
      </c>
      <c r="K354">
        <v>0.12870000000000001</v>
      </c>
      <c r="L354">
        <v>29</v>
      </c>
      <c r="M354" t="s">
        <v>17</v>
      </c>
      <c r="N354" t="s">
        <v>17</v>
      </c>
      <c r="O354" s="3">
        <v>37201</v>
      </c>
      <c r="P354" s="3">
        <v>43865</v>
      </c>
      <c r="Q354" s="1">
        <v>0.42722630136986306</v>
      </c>
      <c r="R354" s="7">
        <v>18.257534246575343</v>
      </c>
      <c r="S354">
        <v>5.5</v>
      </c>
      <c r="T354" s="2">
        <v>7.8497446575342469</v>
      </c>
      <c r="U354" t="s">
        <v>27</v>
      </c>
    </row>
    <row r="355" spans="1:21" hidden="1" x14ac:dyDescent="0.25">
      <c r="A355" t="s">
        <v>89</v>
      </c>
      <c r="B355">
        <v>36.164644000000003</v>
      </c>
      <c r="C355">
        <v>-97.180925000000002</v>
      </c>
      <c r="D355" t="s">
        <v>273</v>
      </c>
      <c r="E355" t="s">
        <v>240</v>
      </c>
      <c r="F355" t="s">
        <v>11</v>
      </c>
      <c r="G355" t="s">
        <v>221</v>
      </c>
      <c r="H355">
        <v>0</v>
      </c>
      <c r="I355" t="s">
        <v>15</v>
      </c>
      <c r="J355" t="s">
        <v>14</v>
      </c>
      <c r="K355" t="s">
        <v>15</v>
      </c>
      <c r="L355">
        <v>27</v>
      </c>
      <c r="M355" t="s">
        <v>33</v>
      </c>
      <c r="N355" t="s">
        <v>17</v>
      </c>
      <c r="O355" s="3">
        <v>38244</v>
      </c>
      <c r="P355" s="3">
        <v>43648</v>
      </c>
      <c r="Q355" s="1" t="s">
        <v>14</v>
      </c>
      <c r="R355" s="7">
        <v>14.805479452054794</v>
      </c>
      <c r="S355" t="s">
        <v>14</v>
      </c>
      <c r="T355" t="s">
        <v>14</v>
      </c>
      <c r="U355" t="s">
        <v>13</v>
      </c>
    </row>
    <row r="356" spans="1:21" hidden="1" x14ac:dyDescent="0.25">
      <c r="A356" t="s">
        <v>89</v>
      </c>
      <c r="B356">
        <v>36.164644000000003</v>
      </c>
      <c r="C356">
        <v>-97.180925000000002</v>
      </c>
      <c r="D356" t="s">
        <v>273</v>
      </c>
      <c r="E356" t="s">
        <v>240</v>
      </c>
      <c r="F356" t="s">
        <v>11</v>
      </c>
      <c r="G356" t="s">
        <v>222</v>
      </c>
      <c r="H356">
        <v>0</v>
      </c>
      <c r="I356" t="s">
        <v>15</v>
      </c>
      <c r="J356" t="s">
        <v>14</v>
      </c>
      <c r="K356" t="s">
        <v>15</v>
      </c>
      <c r="L356">
        <v>38</v>
      </c>
      <c r="M356" t="s">
        <v>16</v>
      </c>
      <c r="N356" t="s">
        <v>17</v>
      </c>
      <c r="O356" s="3">
        <v>35933</v>
      </c>
      <c r="P356" s="3">
        <v>43648</v>
      </c>
      <c r="Q356" s="1" t="s">
        <v>14</v>
      </c>
      <c r="R356" s="7">
        <v>21.136986301369863</v>
      </c>
      <c r="S356" t="s">
        <v>14</v>
      </c>
      <c r="T356" t="s">
        <v>14</v>
      </c>
      <c r="U356" t="s">
        <v>24</v>
      </c>
    </row>
    <row r="357" spans="1:21" hidden="1" x14ac:dyDescent="0.25">
      <c r="A357" t="s">
        <v>89</v>
      </c>
      <c r="B357">
        <v>36.164644000000003</v>
      </c>
      <c r="C357">
        <v>-97.180925000000002</v>
      </c>
      <c r="D357" t="s">
        <v>273</v>
      </c>
      <c r="E357" t="s">
        <v>240</v>
      </c>
      <c r="F357" t="s">
        <v>11</v>
      </c>
      <c r="G357" t="s">
        <v>224</v>
      </c>
      <c r="H357">
        <v>0</v>
      </c>
      <c r="I357" t="s">
        <v>15</v>
      </c>
      <c r="J357" t="s">
        <v>14</v>
      </c>
      <c r="K357" t="s">
        <v>15</v>
      </c>
      <c r="L357">
        <v>24</v>
      </c>
      <c r="M357" t="s">
        <v>17</v>
      </c>
      <c r="N357" t="s">
        <v>17</v>
      </c>
      <c r="O357" s="3">
        <v>37279</v>
      </c>
      <c r="P357" s="3">
        <v>43648</v>
      </c>
      <c r="Q357" s="1" t="s">
        <v>14</v>
      </c>
      <c r="R357" s="7">
        <v>17.449315068493149</v>
      </c>
      <c r="S357" t="s">
        <v>14</v>
      </c>
      <c r="T357" t="s">
        <v>14</v>
      </c>
      <c r="U357" t="s">
        <v>19</v>
      </c>
    </row>
    <row r="358" spans="1:21" hidden="1" x14ac:dyDescent="0.25">
      <c r="A358" t="s">
        <v>89</v>
      </c>
      <c r="B358">
        <v>36.164644000000003</v>
      </c>
      <c r="C358">
        <v>-97.180925000000002</v>
      </c>
      <c r="D358" t="s">
        <v>273</v>
      </c>
      <c r="E358" t="s">
        <v>240</v>
      </c>
      <c r="F358" t="s">
        <v>11</v>
      </c>
      <c r="G358" t="s">
        <v>225</v>
      </c>
      <c r="H358">
        <v>3</v>
      </c>
      <c r="I358" t="s">
        <v>23</v>
      </c>
      <c r="J358" t="s">
        <v>22</v>
      </c>
      <c r="K358" s="2">
        <v>4.0730000000000004</v>
      </c>
      <c r="L358">
        <v>37</v>
      </c>
      <c r="M358" t="s">
        <v>16</v>
      </c>
      <c r="N358" t="s">
        <v>17</v>
      </c>
      <c r="O358" s="3">
        <v>35933</v>
      </c>
      <c r="P358" s="3">
        <v>43556</v>
      </c>
      <c r="Q358" s="1">
        <v>0.27440105170128154</v>
      </c>
      <c r="R358" s="7">
        <v>20.884931506849316</v>
      </c>
      <c r="S358">
        <v>310</v>
      </c>
      <c r="T358" s="2">
        <v>395.06432602739727</v>
      </c>
      <c r="U358" t="s">
        <v>21</v>
      </c>
    </row>
    <row r="359" spans="1:21" hidden="1" x14ac:dyDescent="0.25">
      <c r="A359" t="s">
        <v>89</v>
      </c>
      <c r="B359">
        <v>36.164644000000003</v>
      </c>
      <c r="C359">
        <v>-97.180925000000002</v>
      </c>
      <c r="D359" t="s">
        <v>273</v>
      </c>
      <c r="E359" t="s">
        <v>240</v>
      </c>
      <c r="F359" t="s">
        <v>11</v>
      </c>
      <c r="G359" t="s">
        <v>223</v>
      </c>
      <c r="H359">
        <v>0</v>
      </c>
      <c r="I359" t="s">
        <v>15</v>
      </c>
      <c r="J359" t="s">
        <v>14</v>
      </c>
      <c r="K359" t="s">
        <v>15</v>
      </c>
      <c r="L359">
        <v>36</v>
      </c>
      <c r="M359" t="s">
        <v>16</v>
      </c>
      <c r="N359" t="s">
        <v>17</v>
      </c>
      <c r="O359" s="3">
        <v>35933</v>
      </c>
      <c r="P359" s="3">
        <v>43648</v>
      </c>
      <c r="Q359" s="1" t="s">
        <v>14</v>
      </c>
      <c r="R359" s="7">
        <v>21.136986301369863</v>
      </c>
      <c r="S359" t="s">
        <v>14</v>
      </c>
      <c r="T359" t="s">
        <v>14</v>
      </c>
      <c r="U359" t="s">
        <v>24</v>
      </c>
    </row>
    <row r="360" spans="1:21" hidden="1" x14ac:dyDescent="0.25">
      <c r="A360" t="s">
        <v>89</v>
      </c>
      <c r="B360">
        <v>36.164644000000003</v>
      </c>
      <c r="C360">
        <v>-97.180925000000002</v>
      </c>
      <c r="D360" t="s">
        <v>273</v>
      </c>
      <c r="E360" t="s">
        <v>240</v>
      </c>
      <c r="F360" t="s">
        <v>11</v>
      </c>
      <c r="G360" t="s">
        <v>226</v>
      </c>
      <c r="H360">
        <v>0</v>
      </c>
      <c r="I360" t="s">
        <v>15</v>
      </c>
      <c r="J360" t="s">
        <v>14</v>
      </c>
      <c r="K360" t="s">
        <v>15</v>
      </c>
      <c r="L360">
        <v>25</v>
      </c>
      <c r="M360" t="s">
        <v>17</v>
      </c>
      <c r="N360" t="s">
        <v>17</v>
      </c>
      <c r="O360" s="3">
        <v>37188</v>
      </c>
      <c r="P360" s="3">
        <v>43648</v>
      </c>
      <c r="Q360" s="1" t="s">
        <v>14</v>
      </c>
      <c r="R360" s="7">
        <v>17.698630136986303</v>
      </c>
      <c r="S360" t="s">
        <v>14</v>
      </c>
      <c r="T360" t="s">
        <v>14</v>
      </c>
      <c r="U360" t="s">
        <v>27</v>
      </c>
    </row>
    <row r="361" spans="1:21" hidden="1" x14ac:dyDescent="0.25">
      <c r="A361" s="5" t="s">
        <v>209</v>
      </c>
      <c r="B361">
        <v>34.031111000000003</v>
      </c>
      <c r="C361">
        <v>-97.063889000000003</v>
      </c>
      <c r="D361" t="s">
        <v>274</v>
      </c>
      <c r="E361" t="s">
        <v>240</v>
      </c>
      <c r="F361" t="s">
        <v>11</v>
      </c>
      <c r="G361" t="s">
        <v>221</v>
      </c>
      <c r="H361">
        <v>0</v>
      </c>
      <c r="I361" t="s">
        <v>15</v>
      </c>
      <c r="J361" s="5" t="s">
        <v>14</v>
      </c>
      <c r="K361" t="s">
        <v>15</v>
      </c>
      <c r="L361" s="6">
        <v>32</v>
      </c>
      <c r="M361" s="5" t="s">
        <v>17</v>
      </c>
      <c r="N361" s="5" t="s">
        <v>17</v>
      </c>
      <c r="O361" s="3">
        <v>36843</v>
      </c>
      <c r="P361" s="3">
        <v>43692</v>
      </c>
      <c r="Q361" s="1" t="s">
        <v>14</v>
      </c>
      <c r="R361" s="7">
        <v>18.764383561643836</v>
      </c>
      <c r="S361" t="s">
        <v>14</v>
      </c>
      <c r="T361" t="s">
        <v>14</v>
      </c>
      <c r="U361" t="s">
        <v>13</v>
      </c>
    </row>
    <row r="362" spans="1:21" hidden="1" x14ac:dyDescent="0.25">
      <c r="A362" s="5" t="s">
        <v>209</v>
      </c>
      <c r="B362">
        <v>34.031111000000003</v>
      </c>
      <c r="C362">
        <v>-97.063889000000003</v>
      </c>
      <c r="D362" t="s">
        <v>274</v>
      </c>
      <c r="E362" t="s">
        <v>240</v>
      </c>
      <c r="F362" t="s">
        <v>11</v>
      </c>
      <c r="G362" t="s">
        <v>222</v>
      </c>
      <c r="H362">
        <v>0</v>
      </c>
      <c r="I362" t="s">
        <v>15</v>
      </c>
      <c r="J362" s="5" t="s">
        <v>14</v>
      </c>
      <c r="K362" t="s">
        <v>15</v>
      </c>
      <c r="L362" s="6">
        <v>33</v>
      </c>
      <c r="M362" s="5" t="s">
        <v>17</v>
      </c>
      <c r="N362" s="5" t="s">
        <v>17</v>
      </c>
      <c r="O362" s="3">
        <v>35961</v>
      </c>
      <c r="P362" s="3">
        <v>43682</v>
      </c>
      <c r="Q362" s="1" t="s">
        <v>14</v>
      </c>
      <c r="R362" s="7">
        <v>21.153424657534245</v>
      </c>
      <c r="S362" t="s">
        <v>14</v>
      </c>
      <c r="T362" t="s">
        <v>14</v>
      </c>
      <c r="U362" t="s">
        <v>24</v>
      </c>
    </row>
    <row r="363" spans="1:21" hidden="1" x14ac:dyDescent="0.25">
      <c r="A363" s="5" t="s">
        <v>209</v>
      </c>
      <c r="B363">
        <v>34.031111000000003</v>
      </c>
      <c r="C363">
        <v>-97.063889000000003</v>
      </c>
      <c r="D363" t="s">
        <v>274</v>
      </c>
      <c r="E363" t="s">
        <v>240</v>
      </c>
      <c r="F363" t="s">
        <v>11</v>
      </c>
      <c r="G363" t="s">
        <v>224</v>
      </c>
      <c r="H363">
        <v>0</v>
      </c>
      <c r="I363" t="s">
        <v>15</v>
      </c>
      <c r="J363" s="4" t="s">
        <v>14</v>
      </c>
      <c r="K363" t="s">
        <v>15</v>
      </c>
      <c r="L363" s="6">
        <v>31</v>
      </c>
      <c r="M363" s="5" t="s">
        <v>17</v>
      </c>
      <c r="N363" s="5" t="s">
        <v>17</v>
      </c>
      <c r="O363" s="3">
        <v>36843</v>
      </c>
      <c r="P363" s="3">
        <v>43682</v>
      </c>
      <c r="Q363" s="1" t="s">
        <v>14</v>
      </c>
      <c r="R363" s="7">
        <v>18.736986301369864</v>
      </c>
      <c r="S363" t="s">
        <v>14</v>
      </c>
      <c r="T363" t="s">
        <v>14</v>
      </c>
      <c r="U363" t="s">
        <v>19</v>
      </c>
    </row>
    <row r="364" spans="1:21" hidden="1" x14ac:dyDescent="0.25">
      <c r="A364" s="5" t="s">
        <v>209</v>
      </c>
      <c r="B364">
        <v>34.031111000000003</v>
      </c>
      <c r="C364">
        <v>-97.063889000000003</v>
      </c>
      <c r="D364" t="s">
        <v>274</v>
      </c>
      <c r="E364" t="s">
        <v>240</v>
      </c>
      <c r="F364" t="s">
        <v>11</v>
      </c>
      <c r="G364" t="s">
        <v>225</v>
      </c>
      <c r="H364">
        <v>3</v>
      </c>
      <c r="I364" t="s">
        <v>23</v>
      </c>
      <c r="J364" t="s">
        <v>22</v>
      </c>
      <c r="K364" s="2">
        <v>2.09</v>
      </c>
      <c r="L364">
        <v>35</v>
      </c>
      <c r="M364" t="s">
        <v>16</v>
      </c>
      <c r="N364" t="s">
        <v>16</v>
      </c>
      <c r="O364" s="3">
        <v>36843</v>
      </c>
      <c r="P364" s="3">
        <v>45158</v>
      </c>
      <c r="Q364" s="1">
        <v>0.17313424657534246</v>
      </c>
      <c r="R364" s="7">
        <v>22.780821917808218</v>
      </c>
      <c r="S364">
        <v>275</v>
      </c>
      <c r="T364" s="2">
        <v>322.61191780821918</v>
      </c>
      <c r="U364" t="s">
        <v>21</v>
      </c>
    </row>
    <row r="365" spans="1:21" hidden="1" x14ac:dyDescent="0.25">
      <c r="A365" s="5" t="s">
        <v>209</v>
      </c>
      <c r="B365">
        <v>34.031111000000003</v>
      </c>
      <c r="C365">
        <v>-97.063889000000003</v>
      </c>
      <c r="D365" t="s">
        <v>274</v>
      </c>
      <c r="E365" t="s">
        <v>240</v>
      </c>
      <c r="F365" t="s">
        <v>11</v>
      </c>
      <c r="G365" t="s">
        <v>223</v>
      </c>
      <c r="H365">
        <v>1</v>
      </c>
      <c r="I365" t="s">
        <v>23</v>
      </c>
      <c r="J365" s="4" t="s">
        <v>40</v>
      </c>
      <c r="K365" s="5">
        <v>2.9100000000000003E-4</v>
      </c>
      <c r="L365" s="6">
        <v>28</v>
      </c>
      <c r="M365" s="5" t="s">
        <v>31</v>
      </c>
      <c r="N365" s="5" t="s">
        <v>16</v>
      </c>
      <c r="O365" s="3">
        <v>35961</v>
      </c>
      <c r="P365" s="3">
        <v>43682</v>
      </c>
      <c r="Q365" s="1">
        <v>0.51297054794520547</v>
      </c>
      <c r="R365" s="7">
        <v>21.153424657534245</v>
      </c>
      <c r="S365">
        <v>1.2E-2</v>
      </c>
      <c r="T365" s="2">
        <v>1.8155646575342466E-2</v>
      </c>
      <c r="U365" t="s">
        <v>24</v>
      </c>
    </row>
    <row r="366" spans="1:21" hidden="1" x14ac:dyDescent="0.25">
      <c r="A366" s="5" t="s">
        <v>209</v>
      </c>
      <c r="B366">
        <v>34.031111000000003</v>
      </c>
      <c r="C366">
        <v>-97.063889000000003</v>
      </c>
      <c r="D366" t="s">
        <v>274</v>
      </c>
      <c r="E366" t="s">
        <v>240</v>
      </c>
      <c r="F366" t="s">
        <v>11</v>
      </c>
      <c r="G366" t="s">
        <v>226</v>
      </c>
      <c r="H366">
        <v>0</v>
      </c>
      <c r="I366" t="s">
        <v>15</v>
      </c>
      <c r="J366" s="5" t="s">
        <v>14</v>
      </c>
      <c r="K366" t="s">
        <v>15</v>
      </c>
      <c r="L366" s="6">
        <v>31</v>
      </c>
      <c r="M366" s="5" t="s">
        <v>17</v>
      </c>
      <c r="N366" s="5" t="s">
        <v>16</v>
      </c>
      <c r="O366" s="3">
        <v>36843</v>
      </c>
      <c r="P366" s="3">
        <v>43682</v>
      </c>
      <c r="Q366" s="1" t="s">
        <v>14</v>
      </c>
      <c r="R366" s="7">
        <v>18.736986301369864</v>
      </c>
      <c r="S366" t="s">
        <v>14</v>
      </c>
      <c r="T366" t="s">
        <v>14</v>
      </c>
      <c r="U366" t="s">
        <v>27</v>
      </c>
    </row>
    <row r="367" spans="1:21" hidden="1" x14ac:dyDescent="0.25">
      <c r="A367" s="5" t="s">
        <v>214</v>
      </c>
      <c r="B367">
        <v>35.193536000000002</v>
      </c>
      <c r="C367">
        <v>-94.616221999999993</v>
      </c>
      <c r="D367" t="s">
        <v>275</v>
      </c>
      <c r="E367" t="s">
        <v>240</v>
      </c>
      <c r="F367" t="s">
        <v>11</v>
      </c>
      <c r="G367" t="s">
        <v>221</v>
      </c>
      <c r="H367">
        <v>3</v>
      </c>
      <c r="I367" t="s">
        <v>23</v>
      </c>
      <c r="J367" s="4" t="s">
        <v>22</v>
      </c>
      <c r="K367" s="6">
        <v>1.9059999999999999</v>
      </c>
      <c r="L367" s="6">
        <v>22</v>
      </c>
      <c r="M367" s="5" t="s">
        <v>16</v>
      </c>
      <c r="N367" s="5" t="s">
        <v>17</v>
      </c>
      <c r="O367" s="3">
        <v>36822</v>
      </c>
      <c r="P367" s="3">
        <v>43304</v>
      </c>
      <c r="Q367" s="1">
        <v>2.2565647488584468</v>
      </c>
      <c r="R367" s="7">
        <v>17.758904109589039</v>
      </c>
      <c r="S367">
        <v>15</v>
      </c>
      <c r="T367" s="2">
        <v>48.848471232876705</v>
      </c>
      <c r="U367" t="s">
        <v>13</v>
      </c>
    </row>
    <row r="368" spans="1:21" hidden="1" x14ac:dyDescent="0.25">
      <c r="A368" s="5" t="s">
        <v>214</v>
      </c>
      <c r="B368">
        <v>35.193536000000002</v>
      </c>
      <c r="C368">
        <v>-94.616221999999993</v>
      </c>
      <c r="D368" t="s">
        <v>275</v>
      </c>
      <c r="E368" t="s">
        <v>240</v>
      </c>
      <c r="F368" t="s">
        <v>11</v>
      </c>
      <c r="G368" t="s">
        <v>222</v>
      </c>
      <c r="H368">
        <v>0</v>
      </c>
      <c r="I368" t="s">
        <v>15</v>
      </c>
      <c r="J368" t="s">
        <v>14</v>
      </c>
      <c r="K368" t="s">
        <v>15</v>
      </c>
      <c r="L368" s="6">
        <v>21</v>
      </c>
      <c r="M368" s="5" t="s">
        <v>16</v>
      </c>
      <c r="N368" s="5" t="s">
        <v>17</v>
      </c>
      <c r="O368" s="3">
        <v>35954</v>
      </c>
      <c r="P368" s="3">
        <v>43304</v>
      </c>
      <c r="Q368" s="1" t="s">
        <v>14</v>
      </c>
      <c r="R368" s="7">
        <v>20.136986301369863</v>
      </c>
      <c r="S368" t="s">
        <v>14</v>
      </c>
      <c r="T368" t="s">
        <v>14</v>
      </c>
      <c r="U368" t="s">
        <v>24</v>
      </c>
    </row>
    <row r="369" spans="1:21" hidden="1" x14ac:dyDescent="0.25">
      <c r="A369" s="5" t="s">
        <v>214</v>
      </c>
      <c r="B369">
        <v>35.193536000000002</v>
      </c>
      <c r="C369">
        <v>-94.616221999999993</v>
      </c>
      <c r="D369" t="s">
        <v>275</v>
      </c>
      <c r="E369" t="s">
        <v>240</v>
      </c>
      <c r="F369" t="s">
        <v>11</v>
      </c>
      <c r="G369" t="s">
        <v>224</v>
      </c>
      <c r="H369">
        <v>0</v>
      </c>
      <c r="I369" t="s">
        <v>15</v>
      </c>
      <c r="J369" s="5" t="s">
        <v>14</v>
      </c>
      <c r="K369" t="s">
        <v>15</v>
      </c>
      <c r="L369" s="6">
        <v>20</v>
      </c>
      <c r="M369" s="5" t="s">
        <v>17</v>
      </c>
      <c r="N369" s="5" t="s">
        <v>17</v>
      </c>
      <c r="O369" s="3">
        <v>36822</v>
      </c>
      <c r="P369" s="3">
        <v>43304</v>
      </c>
      <c r="Q369" s="1" t="s">
        <v>14</v>
      </c>
      <c r="R369" s="7">
        <v>17.758904109589039</v>
      </c>
      <c r="S369" t="s">
        <v>14</v>
      </c>
      <c r="T369" t="s">
        <v>14</v>
      </c>
      <c r="U369" t="s">
        <v>19</v>
      </c>
    </row>
    <row r="370" spans="1:21" hidden="1" x14ac:dyDescent="0.25">
      <c r="A370" s="5" t="s">
        <v>214</v>
      </c>
      <c r="B370">
        <v>35.193536000000002</v>
      </c>
      <c r="C370">
        <v>-94.616221999999993</v>
      </c>
      <c r="D370" t="s">
        <v>275</v>
      </c>
      <c r="E370" t="s">
        <v>240</v>
      </c>
      <c r="F370" t="s">
        <v>11</v>
      </c>
      <c r="G370" t="s">
        <v>225</v>
      </c>
      <c r="H370">
        <v>0</v>
      </c>
      <c r="I370" t="s">
        <v>15</v>
      </c>
      <c r="J370" t="s">
        <v>14</v>
      </c>
      <c r="K370" s="2" t="s">
        <v>15</v>
      </c>
      <c r="L370">
        <v>25</v>
      </c>
      <c r="M370" t="s">
        <v>16</v>
      </c>
      <c r="N370" t="s">
        <v>17</v>
      </c>
      <c r="O370" s="3">
        <v>36822</v>
      </c>
      <c r="P370" s="3">
        <v>45201</v>
      </c>
      <c r="Q370" s="1" t="s">
        <v>14</v>
      </c>
      <c r="R370" s="7">
        <v>22.956164383561642</v>
      </c>
      <c r="S370" t="s">
        <v>14</v>
      </c>
      <c r="T370" t="s">
        <v>14</v>
      </c>
      <c r="U370" t="s">
        <v>21</v>
      </c>
    </row>
    <row r="371" spans="1:21" hidden="1" x14ac:dyDescent="0.25">
      <c r="A371" s="5" t="s">
        <v>214</v>
      </c>
      <c r="B371">
        <v>35.193536000000002</v>
      </c>
      <c r="C371">
        <v>-94.616221999999993</v>
      </c>
      <c r="D371" t="s">
        <v>275</v>
      </c>
      <c r="E371" t="s">
        <v>240</v>
      </c>
      <c r="F371" t="s">
        <v>11</v>
      </c>
      <c r="G371" t="s">
        <v>223</v>
      </c>
      <c r="H371">
        <v>0</v>
      </c>
      <c r="I371" t="s">
        <v>15</v>
      </c>
      <c r="J371" s="5" t="s">
        <v>14</v>
      </c>
      <c r="K371" t="s">
        <v>15</v>
      </c>
      <c r="L371" s="6">
        <v>21</v>
      </c>
      <c r="M371" s="5" t="s">
        <v>16</v>
      </c>
      <c r="N371" s="5" t="s">
        <v>17</v>
      </c>
      <c r="O371" s="3">
        <v>35954</v>
      </c>
      <c r="P371" s="3">
        <v>43304</v>
      </c>
      <c r="Q371" s="1" t="s">
        <v>14</v>
      </c>
      <c r="R371" s="7">
        <v>20.136986301369863</v>
      </c>
      <c r="S371" t="s">
        <v>14</v>
      </c>
      <c r="T371" t="s">
        <v>14</v>
      </c>
      <c r="U371" t="s">
        <v>24</v>
      </c>
    </row>
    <row r="372" spans="1:21" hidden="1" x14ac:dyDescent="0.25">
      <c r="A372" s="5" t="s">
        <v>214</v>
      </c>
      <c r="B372">
        <v>35.193536000000002</v>
      </c>
      <c r="C372">
        <v>-94.616221999999993</v>
      </c>
      <c r="D372" t="s">
        <v>275</v>
      </c>
      <c r="E372" t="s">
        <v>240</v>
      </c>
      <c r="F372" t="s">
        <v>11</v>
      </c>
      <c r="G372" t="s">
        <v>226</v>
      </c>
      <c r="H372">
        <v>0</v>
      </c>
      <c r="I372" t="s">
        <v>15</v>
      </c>
      <c r="J372" s="5" t="s">
        <v>14</v>
      </c>
      <c r="K372" t="s">
        <v>15</v>
      </c>
      <c r="L372" s="6">
        <v>20</v>
      </c>
      <c r="M372" s="5" t="s">
        <v>16</v>
      </c>
      <c r="N372" s="5" t="s">
        <v>17</v>
      </c>
      <c r="O372" s="3">
        <v>36822</v>
      </c>
      <c r="P372" s="3">
        <v>43304</v>
      </c>
      <c r="Q372" s="1" t="s">
        <v>14</v>
      </c>
      <c r="R372" s="7">
        <v>17.758904109589039</v>
      </c>
      <c r="S372" t="s">
        <v>14</v>
      </c>
      <c r="T372" t="s">
        <v>14</v>
      </c>
      <c r="U372" t="s">
        <v>27</v>
      </c>
    </row>
    <row r="373" spans="1:21" hidden="1" x14ac:dyDescent="0.25">
      <c r="A373" t="s">
        <v>90</v>
      </c>
      <c r="B373">
        <v>35.533583</v>
      </c>
      <c r="C373">
        <v>-96.316952999999998</v>
      </c>
      <c r="D373" t="s">
        <v>276</v>
      </c>
      <c r="E373" t="s">
        <v>240</v>
      </c>
      <c r="F373" t="s">
        <v>11</v>
      </c>
      <c r="G373" t="s">
        <v>221</v>
      </c>
      <c r="H373">
        <v>0</v>
      </c>
      <c r="I373" t="s">
        <v>15</v>
      </c>
      <c r="J373" t="s">
        <v>14</v>
      </c>
      <c r="K373" t="s">
        <v>15</v>
      </c>
      <c r="L373">
        <v>28</v>
      </c>
      <c r="M373" t="s">
        <v>17</v>
      </c>
      <c r="N373" t="s">
        <v>33</v>
      </c>
      <c r="O373" s="3">
        <v>38322</v>
      </c>
      <c r="P373" s="3">
        <v>44895</v>
      </c>
      <c r="Q373" s="1" t="s">
        <v>14</v>
      </c>
      <c r="R373" s="7">
        <v>18.008219178082193</v>
      </c>
      <c r="S373" t="s">
        <v>14</v>
      </c>
      <c r="T373" t="s">
        <v>14</v>
      </c>
      <c r="U373" t="s">
        <v>13</v>
      </c>
    </row>
    <row r="374" spans="1:21" hidden="1" x14ac:dyDescent="0.25">
      <c r="A374" t="s">
        <v>90</v>
      </c>
      <c r="B374">
        <v>35.533583</v>
      </c>
      <c r="C374">
        <v>-96.316952999999998</v>
      </c>
      <c r="D374" t="s">
        <v>276</v>
      </c>
      <c r="E374" t="s">
        <v>240</v>
      </c>
      <c r="F374" t="s">
        <v>11</v>
      </c>
      <c r="G374" t="s">
        <v>222</v>
      </c>
      <c r="H374">
        <v>3</v>
      </c>
      <c r="I374" t="s">
        <v>23</v>
      </c>
      <c r="J374" s="4" t="s">
        <v>22</v>
      </c>
      <c r="K374">
        <v>1.461E-2</v>
      </c>
      <c r="L374">
        <v>31</v>
      </c>
      <c r="M374" t="s">
        <v>16</v>
      </c>
      <c r="N374" t="s">
        <v>17</v>
      </c>
      <c r="O374" s="3">
        <v>37172</v>
      </c>
      <c r="P374" s="3">
        <v>44895</v>
      </c>
      <c r="Q374" s="1">
        <v>0.68695908675799089</v>
      </c>
      <c r="R374" s="7">
        <v>21.158904109589042</v>
      </c>
      <c r="S374">
        <v>0.45</v>
      </c>
      <c r="T374" s="2">
        <v>0.7591315890410959</v>
      </c>
      <c r="U374" t="s">
        <v>24</v>
      </c>
    </row>
    <row r="375" spans="1:21" hidden="1" x14ac:dyDescent="0.25">
      <c r="A375" t="s">
        <v>90</v>
      </c>
      <c r="B375">
        <v>35.533583</v>
      </c>
      <c r="C375">
        <v>-96.316952999999998</v>
      </c>
      <c r="D375" t="s">
        <v>276</v>
      </c>
      <c r="E375" t="s">
        <v>240</v>
      </c>
      <c r="F375" t="s">
        <v>11</v>
      </c>
      <c r="G375" t="s">
        <v>224</v>
      </c>
      <c r="H375">
        <v>0</v>
      </c>
      <c r="I375" t="s">
        <v>15</v>
      </c>
      <c r="J375" s="5" t="s">
        <v>14</v>
      </c>
      <c r="K375" t="s">
        <v>15</v>
      </c>
      <c r="L375">
        <v>24</v>
      </c>
      <c r="M375" t="s">
        <v>17</v>
      </c>
      <c r="N375" t="s">
        <v>17</v>
      </c>
      <c r="O375" s="3">
        <v>37264</v>
      </c>
      <c r="P375" s="3">
        <v>44895</v>
      </c>
      <c r="Q375" s="1" t="s">
        <v>14</v>
      </c>
      <c r="R375" s="7">
        <v>20.906849315068492</v>
      </c>
      <c r="S375" t="s">
        <v>14</v>
      </c>
      <c r="T375" t="s">
        <v>14</v>
      </c>
      <c r="U375" t="s">
        <v>19</v>
      </c>
    </row>
    <row r="376" spans="1:21" hidden="1" x14ac:dyDescent="0.25">
      <c r="A376" t="s">
        <v>90</v>
      </c>
      <c r="B376">
        <v>35.533583</v>
      </c>
      <c r="C376">
        <v>-96.316952999999998</v>
      </c>
      <c r="D376" t="s">
        <v>276</v>
      </c>
      <c r="E376" t="s">
        <v>240</v>
      </c>
      <c r="F376" t="s">
        <v>11</v>
      </c>
      <c r="G376" t="s">
        <v>225</v>
      </c>
      <c r="H376">
        <v>0</v>
      </c>
      <c r="I376" t="s">
        <v>15</v>
      </c>
      <c r="J376" t="s">
        <v>14</v>
      </c>
      <c r="K376" s="2" t="s">
        <v>15</v>
      </c>
      <c r="L376">
        <v>27</v>
      </c>
      <c r="M376" t="s">
        <v>16</v>
      </c>
      <c r="N376" t="s">
        <v>16</v>
      </c>
      <c r="O376" s="3">
        <v>37172</v>
      </c>
      <c r="P376" s="3">
        <v>43717</v>
      </c>
      <c r="Q376" s="1" t="s">
        <v>14</v>
      </c>
      <c r="R376" s="7">
        <v>17.931506849315067</v>
      </c>
      <c r="S376" t="s">
        <v>14</v>
      </c>
      <c r="T376" t="s">
        <v>14</v>
      </c>
      <c r="U376" t="s">
        <v>21</v>
      </c>
    </row>
    <row r="377" spans="1:21" hidden="1" x14ac:dyDescent="0.25">
      <c r="A377" t="s">
        <v>90</v>
      </c>
      <c r="B377">
        <v>35.533583</v>
      </c>
      <c r="C377">
        <v>-96.316952999999998</v>
      </c>
      <c r="D377" t="s">
        <v>276</v>
      </c>
      <c r="E377" t="s">
        <v>240</v>
      </c>
      <c r="F377" t="s">
        <v>11</v>
      </c>
      <c r="G377" t="s">
        <v>223</v>
      </c>
      <c r="H377">
        <v>0</v>
      </c>
      <c r="I377" t="s">
        <v>15</v>
      </c>
      <c r="J377" t="s">
        <v>14</v>
      </c>
      <c r="K377" t="s">
        <v>15</v>
      </c>
      <c r="L377">
        <v>28</v>
      </c>
      <c r="M377" t="s">
        <v>17</v>
      </c>
      <c r="N377" t="s">
        <v>33</v>
      </c>
      <c r="O377" s="3">
        <v>37172</v>
      </c>
      <c r="P377" s="3">
        <v>44895</v>
      </c>
      <c r="Q377" s="1" t="s">
        <v>14</v>
      </c>
      <c r="R377" s="7">
        <v>21.158904109589042</v>
      </c>
      <c r="S377" t="s">
        <v>14</v>
      </c>
      <c r="T377" t="s">
        <v>14</v>
      </c>
      <c r="U377" t="s">
        <v>24</v>
      </c>
    </row>
    <row r="378" spans="1:21" hidden="1" x14ac:dyDescent="0.25">
      <c r="A378" t="s">
        <v>90</v>
      </c>
      <c r="B378">
        <v>35.533583</v>
      </c>
      <c r="C378">
        <v>-96.316952999999998</v>
      </c>
      <c r="D378" t="s">
        <v>276</v>
      </c>
      <c r="E378" t="s">
        <v>240</v>
      </c>
      <c r="F378" t="s">
        <v>11</v>
      </c>
      <c r="G378" t="s">
        <v>226</v>
      </c>
      <c r="H378">
        <v>0</v>
      </c>
      <c r="I378" t="s">
        <v>15</v>
      </c>
      <c r="J378" t="s">
        <v>14</v>
      </c>
      <c r="K378" t="s">
        <v>15</v>
      </c>
      <c r="L378">
        <v>31</v>
      </c>
      <c r="M378" t="s">
        <v>17</v>
      </c>
      <c r="N378" t="s">
        <v>17</v>
      </c>
      <c r="O378" s="3">
        <v>37172</v>
      </c>
      <c r="P378" s="3">
        <v>44895</v>
      </c>
      <c r="Q378" s="1" t="s">
        <v>14</v>
      </c>
      <c r="R378" s="7">
        <v>21.158904109589042</v>
      </c>
      <c r="S378" t="s">
        <v>14</v>
      </c>
      <c r="T378" t="s">
        <v>14</v>
      </c>
      <c r="U378" t="s">
        <v>27</v>
      </c>
    </row>
    <row r="379" spans="1:21" hidden="1" x14ac:dyDescent="0.25">
      <c r="A379" t="s">
        <v>91</v>
      </c>
      <c r="B379">
        <v>35.622149999999998</v>
      </c>
      <c r="C379">
        <v>-96.062663999999998</v>
      </c>
      <c r="D379" t="s">
        <v>91</v>
      </c>
      <c r="E379" t="s">
        <v>240</v>
      </c>
      <c r="F379" t="s">
        <v>11</v>
      </c>
      <c r="G379" t="s">
        <v>221</v>
      </c>
      <c r="H379">
        <v>0</v>
      </c>
      <c r="I379" t="s">
        <v>15</v>
      </c>
      <c r="J379" t="s">
        <v>14</v>
      </c>
      <c r="K379" t="s">
        <v>15</v>
      </c>
      <c r="L379">
        <v>25</v>
      </c>
      <c r="M379" t="s">
        <v>33</v>
      </c>
      <c r="N379" t="s">
        <v>17</v>
      </c>
      <c r="O379" s="3">
        <v>38313</v>
      </c>
      <c r="P379" s="3">
        <v>44453</v>
      </c>
      <c r="Q379" s="1" t="s">
        <v>14</v>
      </c>
      <c r="R379" s="7">
        <v>16.82191780821918</v>
      </c>
      <c r="S379" t="s">
        <v>14</v>
      </c>
      <c r="T379" t="s">
        <v>14</v>
      </c>
      <c r="U379" t="s">
        <v>13</v>
      </c>
    </row>
    <row r="380" spans="1:21" hidden="1" x14ac:dyDescent="0.25">
      <c r="A380" t="s">
        <v>91</v>
      </c>
      <c r="B380">
        <v>35.622149999999998</v>
      </c>
      <c r="C380">
        <v>-96.062663999999998</v>
      </c>
      <c r="D380" t="s">
        <v>91</v>
      </c>
      <c r="E380" t="s">
        <v>240</v>
      </c>
      <c r="F380" t="s">
        <v>11</v>
      </c>
      <c r="G380" t="s">
        <v>222</v>
      </c>
      <c r="H380">
        <v>0</v>
      </c>
      <c r="I380" t="s">
        <v>15</v>
      </c>
      <c r="J380" t="s">
        <v>14</v>
      </c>
      <c r="K380" t="s">
        <v>15</v>
      </c>
      <c r="L380">
        <v>35</v>
      </c>
      <c r="M380" t="s">
        <v>16</v>
      </c>
      <c r="N380" t="s">
        <v>17</v>
      </c>
      <c r="O380" s="3">
        <v>35921</v>
      </c>
      <c r="P380" s="3">
        <v>44453</v>
      </c>
      <c r="Q380" s="1" t="s">
        <v>14</v>
      </c>
      <c r="R380" s="7">
        <v>23.375342465753423</v>
      </c>
      <c r="S380" t="s">
        <v>14</v>
      </c>
      <c r="T380" t="s">
        <v>14</v>
      </c>
      <c r="U380" t="s">
        <v>24</v>
      </c>
    </row>
    <row r="381" spans="1:21" hidden="1" x14ac:dyDescent="0.25">
      <c r="A381" t="s">
        <v>91</v>
      </c>
      <c r="B381">
        <v>35.622149999999998</v>
      </c>
      <c r="C381">
        <v>-96.062663999999998</v>
      </c>
      <c r="D381" t="s">
        <v>91</v>
      </c>
      <c r="E381" t="s">
        <v>240</v>
      </c>
      <c r="F381" t="s">
        <v>11</v>
      </c>
      <c r="G381" t="s">
        <v>224</v>
      </c>
      <c r="H381">
        <v>0</v>
      </c>
      <c r="I381" t="s">
        <v>15</v>
      </c>
      <c r="J381" t="s">
        <v>14</v>
      </c>
      <c r="K381" t="s">
        <v>15</v>
      </c>
      <c r="L381">
        <v>22</v>
      </c>
      <c r="M381" t="s">
        <v>17</v>
      </c>
      <c r="N381" t="s">
        <v>33</v>
      </c>
      <c r="O381" s="3">
        <v>37172</v>
      </c>
      <c r="P381" s="3">
        <v>44453</v>
      </c>
      <c r="Q381" s="1" t="s">
        <v>14</v>
      </c>
      <c r="R381" s="7">
        <v>19.947945205479453</v>
      </c>
      <c r="S381" t="s">
        <v>14</v>
      </c>
      <c r="T381" t="s">
        <v>14</v>
      </c>
      <c r="U381" t="s">
        <v>19</v>
      </c>
    </row>
    <row r="382" spans="1:21" hidden="1" x14ac:dyDescent="0.25">
      <c r="A382" t="s">
        <v>91</v>
      </c>
      <c r="B382">
        <v>35.622149999999998</v>
      </c>
      <c r="C382">
        <v>-96.062663999999998</v>
      </c>
      <c r="D382" t="s">
        <v>91</v>
      </c>
      <c r="E382" t="s">
        <v>240</v>
      </c>
      <c r="F382" t="s">
        <v>11</v>
      </c>
      <c r="G382" t="s">
        <v>225</v>
      </c>
      <c r="H382">
        <v>0</v>
      </c>
      <c r="I382" t="s">
        <v>15</v>
      </c>
      <c r="J382" t="s">
        <v>14</v>
      </c>
      <c r="K382" s="2" t="s">
        <v>15</v>
      </c>
      <c r="L382">
        <v>38</v>
      </c>
      <c r="M382" t="s">
        <v>16</v>
      </c>
      <c r="N382" t="s">
        <v>16</v>
      </c>
      <c r="O382" s="3">
        <v>35921</v>
      </c>
      <c r="P382" s="3">
        <v>45216</v>
      </c>
      <c r="Q382" s="1" t="s">
        <v>14</v>
      </c>
      <c r="R382" s="7">
        <v>25.465753424657535</v>
      </c>
      <c r="S382" t="s">
        <v>14</v>
      </c>
      <c r="T382" t="s">
        <v>14</v>
      </c>
      <c r="U382" t="s">
        <v>21</v>
      </c>
    </row>
    <row r="383" spans="1:21" hidden="1" x14ac:dyDescent="0.25">
      <c r="A383" t="s">
        <v>91</v>
      </c>
      <c r="B383">
        <v>35.622149999999998</v>
      </c>
      <c r="C383">
        <v>-96.062663999999998</v>
      </c>
      <c r="D383" t="s">
        <v>91</v>
      </c>
      <c r="E383" t="s">
        <v>240</v>
      </c>
      <c r="F383" t="s">
        <v>11</v>
      </c>
      <c r="G383" t="s">
        <v>223</v>
      </c>
      <c r="H383">
        <v>0</v>
      </c>
      <c r="I383" t="s">
        <v>15</v>
      </c>
      <c r="J383" t="s">
        <v>14</v>
      </c>
      <c r="K383" t="s">
        <v>15</v>
      </c>
      <c r="L383">
        <v>34</v>
      </c>
      <c r="M383" t="s">
        <v>16</v>
      </c>
      <c r="N383" t="s">
        <v>17</v>
      </c>
      <c r="O383" s="3">
        <v>35921</v>
      </c>
      <c r="P383" s="3">
        <v>44453</v>
      </c>
      <c r="Q383" s="1" t="s">
        <v>14</v>
      </c>
      <c r="R383" s="7">
        <v>23.375342465753423</v>
      </c>
      <c r="S383" t="s">
        <v>14</v>
      </c>
      <c r="T383" t="s">
        <v>14</v>
      </c>
      <c r="U383" t="s">
        <v>24</v>
      </c>
    </row>
    <row r="384" spans="1:21" hidden="1" x14ac:dyDescent="0.25">
      <c r="A384" t="s">
        <v>91</v>
      </c>
      <c r="B384">
        <v>35.622149999999998</v>
      </c>
      <c r="C384">
        <v>-96.062663999999998</v>
      </c>
      <c r="D384" t="s">
        <v>91</v>
      </c>
      <c r="E384" t="s">
        <v>240</v>
      </c>
      <c r="F384" t="s">
        <v>11</v>
      </c>
      <c r="G384" t="s">
        <v>226</v>
      </c>
      <c r="H384">
        <v>0</v>
      </c>
      <c r="I384" t="s">
        <v>15</v>
      </c>
      <c r="J384" t="s">
        <v>14</v>
      </c>
      <c r="K384" t="s">
        <v>15</v>
      </c>
      <c r="L384">
        <v>29</v>
      </c>
      <c r="M384" t="s">
        <v>17</v>
      </c>
      <c r="N384" t="s">
        <v>17</v>
      </c>
      <c r="O384" s="3">
        <v>37172</v>
      </c>
      <c r="P384" s="3">
        <v>44453</v>
      </c>
      <c r="Q384" s="1" t="s">
        <v>14</v>
      </c>
      <c r="R384" s="7">
        <v>19.947945205479453</v>
      </c>
      <c r="S384" t="s">
        <v>14</v>
      </c>
      <c r="T384" t="s">
        <v>14</v>
      </c>
      <c r="U384" t="s">
        <v>27</v>
      </c>
    </row>
    <row r="385" spans="1:21" hidden="1" x14ac:dyDescent="0.25">
      <c r="A385" t="s">
        <v>92</v>
      </c>
      <c r="B385">
        <v>36.422569000000003</v>
      </c>
      <c r="C385">
        <v>-95.676091999999997</v>
      </c>
      <c r="D385" t="s">
        <v>250</v>
      </c>
      <c r="E385" t="s">
        <v>240</v>
      </c>
      <c r="F385" t="s">
        <v>11</v>
      </c>
      <c r="G385" t="s">
        <v>221</v>
      </c>
      <c r="H385">
        <v>0</v>
      </c>
      <c r="I385" t="s">
        <v>15</v>
      </c>
      <c r="J385" t="s">
        <v>14</v>
      </c>
      <c r="K385" t="s">
        <v>15</v>
      </c>
      <c r="L385">
        <v>25</v>
      </c>
      <c r="M385" t="s">
        <v>17</v>
      </c>
      <c r="N385" t="s">
        <v>31</v>
      </c>
      <c r="O385" s="3">
        <v>37732</v>
      </c>
      <c r="P385" s="3">
        <v>43675</v>
      </c>
      <c r="Q385" s="1" t="s">
        <v>14</v>
      </c>
      <c r="R385" s="7">
        <v>16.282191780821918</v>
      </c>
      <c r="S385" t="s">
        <v>14</v>
      </c>
      <c r="T385" t="s">
        <v>14</v>
      </c>
      <c r="U385" t="s">
        <v>13</v>
      </c>
    </row>
    <row r="386" spans="1:21" hidden="1" x14ac:dyDescent="0.25">
      <c r="A386" t="s">
        <v>92</v>
      </c>
      <c r="B386">
        <v>36.422569000000003</v>
      </c>
      <c r="C386">
        <v>-95.676091999999997</v>
      </c>
      <c r="D386" t="s">
        <v>250</v>
      </c>
      <c r="E386" t="s">
        <v>240</v>
      </c>
      <c r="F386" t="s">
        <v>11</v>
      </c>
      <c r="G386" t="s">
        <v>222</v>
      </c>
      <c r="H386">
        <v>3</v>
      </c>
      <c r="I386" t="s">
        <v>23</v>
      </c>
      <c r="J386" s="4" t="s">
        <v>22</v>
      </c>
      <c r="K386">
        <v>1.9630000000000002E-2</v>
      </c>
      <c r="L386">
        <v>30</v>
      </c>
      <c r="M386" t="s">
        <v>17</v>
      </c>
      <c r="N386" t="s">
        <v>17</v>
      </c>
      <c r="O386" s="3">
        <v>36473</v>
      </c>
      <c r="P386" s="3">
        <v>43675</v>
      </c>
      <c r="Q386" s="1">
        <v>0.8607321765601218</v>
      </c>
      <c r="R386" s="7">
        <v>19.731506849315068</v>
      </c>
      <c r="S386">
        <v>0.45</v>
      </c>
      <c r="T386" s="2">
        <v>0.83732947945205483</v>
      </c>
      <c r="U386" t="s">
        <v>24</v>
      </c>
    </row>
    <row r="387" spans="1:21" hidden="1" x14ac:dyDescent="0.25">
      <c r="A387" t="s">
        <v>92</v>
      </c>
      <c r="B387">
        <v>36.422569000000003</v>
      </c>
      <c r="C387">
        <v>-95.676091999999997</v>
      </c>
      <c r="D387" t="s">
        <v>250</v>
      </c>
      <c r="E387" t="s">
        <v>240</v>
      </c>
      <c r="F387" t="s">
        <v>11</v>
      </c>
      <c r="G387" t="s">
        <v>224</v>
      </c>
      <c r="H387">
        <v>0</v>
      </c>
      <c r="I387" t="s">
        <v>15</v>
      </c>
      <c r="J387" t="s">
        <v>14</v>
      </c>
      <c r="K387" t="s">
        <v>15</v>
      </c>
      <c r="L387">
        <v>25</v>
      </c>
      <c r="M387" t="s">
        <v>17</v>
      </c>
      <c r="N387" t="s">
        <v>17</v>
      </c>
      <c r="O387" s="3">
        <v>38278</v>
      </c>
      <c r="P387" s="3">
        <v>43675</v>
      </c>
      <c r="Q387" s="1" t="s">
        <v>14</v>
      </c>
      <c r="R387" s="7">
        <v>14.786301369863013</v>
      </c>
      <c r="S387" t="s">
        <v>14</v>
      </c>
      <c r="T387" t="s">
        <v>14</v>
      </c>
      <c r="U387" t="s">
        <v>19</v>
      </c>
    </row>
    <row r="388" spans="1:21" hidden="1" x14ac:dyDescent="0.25">
      <c r="A388" t="s">
        <v>92</v>
      </c>
      <c r="B388">
        <v>36.422569000000003</v>
      </c>
      <c r="C388">
        <v>-95.676091999999997</v>
      </c>
      <c r="D388" t="s">
        <v>250</v>
      </c>
      <c r="E388" t="s">
        <v>240</v>
      </c>
      <c r="F388" t="s">
        <v>11</v>
      </c>
      <c r="G388" t="s">
        <v>225</v>
      </c>
      <c r="H388">
        <v>0</v>
      </c>
      <c r="I388" t="s">
        <v>15</v>
      </c>
      <c r="J388" t="s">
        <v>14</v>
      </c>
      <c r="K388" s="2" t="s">
        <v>15</v>
      </c>
      <c r="L388">
        <v>37</v>
      </c>
      <c r="M388" t="s">
        <v>31</v>
      </c>
      <c r="N388" t="s">
        <v>17</v>
      </c>
      <c r="O388" s="3">
        <v>36473</v>
      </c>
      <c r="P388" s="3">
        <v>45237</v>
      </c>
      <c r="Q388" s="1" t="s">
        <v>14</v>
      </c>
      <c r="R388" s="7">
        <v>24.010958904109589</v>
      </c>
      <c r="S388" t="s">
        <v>14</v>
      </c>
      <c r="T388" t="s">
        <v>14</v>
      </c>
      <c r="U388" t="s">
        <v>21</v>
      </c>
    </row>
    <row r="389" spans="1:21" hidden="1" x14ac:dyDescent="0.25">
      <c r="A389" t="s">
        <v>92</v>
      </c>
      <c r="B389">
        <v>36.422569000000003</v>
      </c>
      <c r="C389">
        <v>-95.676091999999997</v>
      </c>
      <c r="D389" t="s">
        <v>250</v>
      </c>
      <c r="E389" t="s">
        <v>240</v>
      </c>
      <c r="F389" t="s">
        <v>11</v>
      </c>
      <c r="G389" t="s">
        <v>223</v>
      </c>
      <c r="H389">
        <v>3</v>
      </c>
      <c r="I389" t="s">
        <v>23</v>
      </c>
      <c r="J389" s="4" t="s">
        <v>22</v>
      </c>
      <c r="K389">
        <v>1.691E-3</v>
      </c>
      <c r="L389">
        <v>30</v>
      </c>
      <c r="M389" t="s">
        <v>17</v>
      </c>
      <c r="N389" t="s">
        <v>17</v>
      </c>
      <c r="O389" s="3">
        <v>36473</v>
      </c>
      <c r="P389" s="3">
        <v>43675</v>
      </c>
      <c r="Q389" s="1">
        <v>0.74146617960426198</v>
      </c>
      <c r="R389" s="7">
        <v>19.731506849315068</v>
      </c>
      <c r="S389">
        <v>4.4999999999999998E-2</v>
      </c>
      <c r="T389" s="2">
        <v>7.8365978082191784E-2</v>
      </c>
      <c r="U389" t="s">
        <v>24</v>
      </c>
    </row>
    <row r="390" spans="1:21" hidden="1" x14ac:dyDescent="0.25">
      <c r="A390" t="s">
        <v>92</v>
      </c>
      <c r="B390">
        <v>36.422569000000003</v>
      </c>
      <c r="C390">
        <v>-95.676091999999997</v>
      </c>
      <c r="D390" t="s">
        <v>250</v>
      </c>
      <c r="E390" t="s">
        <v>240</v>
      </c>
      <c r="F390" t="s">
        <v>11</v>
      </c>
      <c r="G390" t="s">
        <v>226</v>
      </c>
      <c r="H390">
        <v>0</v>
      </c>
      <c r="I390" t="s">
        <v>15</v>
      </c>
      <c r="J390" t="s">
        <v>14</v>
      </c>
      <c r="K390" t="s">
        <v>15</v>
      </c>
      <c r="L390">
        <v>19</v>
      </c>
      <c r="M390" t="s">
        <v>17</v>
      </c>
      <c r="N390" t="s">
        <v>17</v>
      </c>
      <c r="O390" s="3">
        <v>38278</v>
      </c>
      <c r="P390" s="3">
        <v>43675</v>
      </c>
      <c r="Q390" s="1" t="s">
        <v>14</v>
      </c>
      <c r="R390" s="7">
        <v>14.786301369863013</v>
      </c>
      <c r="S390" t="s">
        <v>14</v>
      </c>
      <c r="T390" t="s">
        <v>14</v>
      </c>
      <c r="U390" t="s">
        <v>27</v>
      </c>
    </row>
    <row r="391" spans="1:21" hidden="1" x14ac:dyDescent="0.25">
      <c r="A391" t="s">
        <v>93</v>
      </c>
      <c r="B391">
        <v>35.487161</v>
      </c>
      <c r="C391">
        <v>-97.668244000000001</v>
      </c>
      <c r="D391" t="s">
        <v>242</v>
      </c>
      <c r="E391" t="s">
        <v>240</v>
      </c>
      <c r="F391" t="s">
        <v>11</v>
      </c>
      <c r="G391" t="s">
        <v>221</v>
      </c>
      <c r="H391">
        <v>0</v>
      </c>
      <c r="I391" t="s">
        <v>15</v>
      </c>
      <c r="J391" s="4" t="s">
        <v>14</v>
      </c>
      <c r="K391" t="s">
        <v>15</v>
      </c>
      <c r="L391">
        <v>27</v>
      </c>
      <c r="M391" t="s">
        <v>16</v>
      </c>
      <c r="N391" t="s">
        <v>17</v>
      </c>
      <c r="O391" s="3">
        <v>37873</v>
      </c>
      <c r="P391" s="3">
        <v>43647</v>
      </c>
      <c r="Q391" s="1" t="s">
        <v>14</v>
      </c>
      <c r="R391" s="7">
        <v>15.819178082191781</v>
      </c>
      <c r="S391" t="s">
        <v>14</v>
      </c>
      <c r="T391" t="s">
        <v>14</v>
      </c>
      <c r="U391" t="s">
        <v>13</v>
      </c>
    </row>
    <row r="392" spans="1:21" hidden="1" x14ac:dyDescent="0.25">
      <c r="A392" t="s">
        <v>93</v>
      </c>
      <c r="B392">
        <v>35.487161</v>
      </c>
      <c r="C392">
        <v>-97.668244000000001</v>
      </c>
      <c r="D392" t="s">
        <v>242</v>
      </c>
      <c r="E392" t="s">
        <v>240</v>
      </c>
      <c r="F392" t="s">
        <v>11</v>
      </c>
      <c r="G392" t="s">
        <v>222</v>
      </c>
      <c r="H392">
        <v>0</v>
      </c>
      <c r="I392" t="s">
        <v>15</v>
      </c>
      <c r="J392" t="s">
        <v>14</v>
      </c>
      <c r="K392" t="s">
        <v>15</v>
      </c>
      <c r="L392">
        <v>32</v>
      </c>
      <c r="M392" t="s">
        <v>16</v>
      </c>
      <c r="N392" t="s">
        <v>17</v>
      </c>
      <c r="O392" s="3">
        <v>37173</v>
      </c>
      <c r="P392" s="3">
        <v>43647</v>
      </c>
      <c r="Q392" s="1" t="s">
        <v>14</v>
      </c>
      <c r="R392" s="7">
        <v>17.736986301369864</v>
      </c>
      <c r="S392" t="s">
        <v>14</v>
      </c>
      <c r="T392" t="s">
        <v>14</v>
      </c>
      <c r="U392" t="s">
        <v>24</v>
      </c>
    </row>
    <row r="393" spans="1:21" hidden="1" x14ac:dyDescent="0.25">
      <c r="A393" t="s">
        <v>93</v>
      </c>
      <c r="B393">
        <v>35.487161</v>
      </c>
      <c r="C393">
        <v>-97.668244000000001</v>
      </c>
      <c r="D393" t="s">
        <v>242</v>
      </c>
      <c r="E393" t="s">
        <v>240</v>
      </c>
      <c r="F393" t="s">
        <v>11</v>
      </c>
      <c r="G393" t="s">
        <v>224</v>
      </c>
      <c r="H393">
        <v>2</v>
      </c>
      <c r="I393" t="s">
        <v>23</v>
      </c>
      <c r="J393" s="4" t="s">
        <v>38</v>
      </c>
      <c r="K393">
        <v>0.67779999999999996</v>
      </c>
      <c r="L393">
        <v>30</v>
      </c>
      <c r="M393" t="s">
        <v>16</v>
      </c>
      <c r="N393" t="s">
        <v>17</v>
      </c>
      <c r="O393" s="3">
        <v>37265</v>
      </c>
      <c r="P393" s="3">
        <v>43647</v>
      </c>
      <c r="Q393" s="1">
        <v>0.56434697977821258</v>
      </c>
      <c r="R393" s="7">
        <v>17.484931506849314</v>
      </c>
      <c r="S393">
        <v>21</v>
      </c>
      <c r="T393" s="2">
        <v>32.851286575342463</v>
      </c>
      <c r="U393" t="s">
        <v>19</v>
      </c>
    </row>
    <row r="394" spans="1:21" hidden="1" x14ac:dyDescent="0.25">
      <c r="A394" t="s">
        <v>93</v>
      </c>
      <c r="B394">
        <v>35.487161</v>
      </c>
      <c r="C394">
        <v>-97.668244000000001</v>
      </c>
      <c r="D394" t="s">
        <v>242</v>
      </c>
      <c r="E394" t="s">
        <v>240</v>
      </c>
      <c r="F394" t="s">
        <v>11</v>
      </c>
      <c r="G394" t="s">
        <v>225</v>
      </c>
      <c r="H394">
        <v>0</v>
      </c>
      <c r="I394" t="s">
        <v>15</v>
      </c>
      <c r="J394" t="s">
        <v>14</v>
      </c>
      <c r="K394" s="2" t="s">
        <v>15</v>
      </c>
      <c r="L394">
        <v>37</v>
      </c>
      <c r="M394" t="s">
        <v>16</v>
      </c>
      <c r="N394" t="s">
        <v>17</v>
      </c>
      <c r="O394" s="3">
        <v>35926</v>
      </c>
      <c r="P394" t="s">
        <v>200</v>
      </c>
      <c r="Q394" s="1" t="s">
        <v>14</v>
      </c>
      <c r="R394" s="7" t="e">
        <v>#VALUE!</v>
      </c>
      <c r="S394" t="s">
        <v>14</v>
      </c>
      <c r="T394" t="s">
        <v>14</v>
      </c>
      <c r="U394" t="s">
        <v>21</v>
      </c>
    </row>
    <row r="395" spans="1:21" hidden="1" x14ac:dyDescent="0.25">
      <c r="A395" t="s">
        <v>93</v>
      </c>
      <c r="B395">
        <v>35.487161</v>
      </c>
      <c r="C395">
        <v>-97.668244000000001</v>
      </c>
      <c r="D395" t="s">
        <v>242</v>
      </c>
      <c r="E395" t="s">
        <v>240</v>
      </c>
      <c r="F395" t="s">
        <v>11</v>
      </c>
      <c r="G395" t="s">
        <v>223</v>
      </c>
      <c r="H395">
        <v>-1</v>
      </c>
      <c r="I395" t="s">
        <v>29</v>
      </c>
      <c r="J395" s="4" t="s">
        <v>28</v>
      </c>
      <c r="K395">
        <v>-3.519E-3</v>
      </c>
      <c r="L395">
        <v>32</v>
      </c>
      <c r="M395" t="s">
        <v>16</v>
      </c>
      <c r="N395" t="s">
        <v>17</v>
      </c>
      <c r="O395" s="3">
        <v>37173</v>
      </c>
      <c r="P395" s="3">
        <v>43647</v>
      </c>
      <c r="Q395" s="1">
        <v>-0.24966581917808217</v>
      </c>
      <c r="R395" s="7">
        <v>17.736986301369864</v>
      </c>
      <c r="S395">
        <v>0.25</v>
      </c>
      <c r="T395" s="2">
        <v>0.18758354520547946</v>
      </c>
      <c r="U395" t="s">
        <v>24</v>
      </c>
    </row>
    <row r="396" spans="1:21" hidden="1" x14ac:dyDescent="0.25">
      <c r="A396" t="s">
        <v>93</v>
      </c>
      <c r="B396">
        <v>35.487161</v>
      </c>
      <c r="C396">
        <v>-97.668244000000001</v>
      </c>
      <c r="D396" t="s">
        <v>242</v>
      </c>
      <c r="E396" t="s">
        <v>240</v>
      </c>
      <c r="F396" t="s">
        <v>11</v>
      </c>
      <c r="G396" t="s">
        <v>226</v>
      </c>
      <c r="H396">
        <v>-3</v>
      </c>
      <c r="I396" t="s">
        <v>29</v>
      </c>
      <c r="J396" s="4" t="s">
        <v>32</v>
      </c>
      <c r="K396">
        <v>-2.016</v>
      </c>
      <c r="L396">
        <v>31</v>
      </c>
      <c r="M396" t="s">
        <v>31</v>
      </c>
      <c r="N396" t="s">
        <v>17</v>
      </c>
      <c r="O396" s="3">
        <v>37173</v>
      </c>
      <c r="P396" s="3">
        <v>43647</v>
      </c>
      <c r="Q396" s="1">
        <v>-0.71515528767123282</v>
      </c>
      <c r="R396" s="7">
        <v>17.736986301369864</v>
      </c>
      <c r="S396">
        <v>50</v>
      </c>
      <c r="T396" s="2">
        <v>14.242235616438357</v>
      </c>
      <c r="U396" t="s">
        <v>27</v>
      </c>
    </row>
    <row r="397" spans="1:21" hidden="1" x14ac:dyDescent="0.25">
      <c r="A397" t="s">
        <v>94</v>
      </c>
      <c r="B397">
        <v>34.769385999999997</v>
      </c>
      <c r="C397">
        <v>-97.204419000000001</v>
      </c>
      <c r="D397" t="s">
        <v>277</v>
      </c>
      <c r="E397" t="s">
        <v>240</v>
      </c>
      <c r="F397" t="s">
        <v>11</v>
      </c>
      <c r="G397" t="s">
        <v>221</v>
      </c>
      <c r="H397">
        <v>3</v>
      </c>
      <c r="I397" t="s">
        <v>23</v>
      </c>
      <c r="J397" s="4" t="s">
        <v>22</v>
      </c>
      <c r="K397">
        <v>0.43380000000000002</v>
      </c>
      <c r="L397">
        <v>27</v>
      </c>
      <c r="M397" t="s">
        <v>31</v>
      </c>
      <c r="N397" t="s">
        <v>16</v>
      </c>
      <c r="O397" s="3">
        <v>37566</v>
      </c>
      <c r="P397" s="3">
        <v>43875</v>
      </c>
      <c r="Q397" s="1">
        <v>2.142343796477495</v>
      </c>
      <c r="R397" s="7">
        <v>17.284931506849315</v>
      </c>
      <c r="S397">
        <v>3.5</v>
      </c>
      <c r="T397" s="2">
        <v>10.998203287671233</v>
      </c>
      <c r="U397" t="s">
        <v>13</v>
      </c>
    </row>
    <row r="398" spans="1:21" hidden="1" x14ac:dyDescent="0.25">
      <c r="A398" t="s">
        <v>94</v>
      </c>
      <c r="B398">
        <v>34.769385999999997</v>
      </c>
      <c r="C398">
        <v>-97.204419000000001</v>
      </c>
      <c r="D398" t="s">
        <v>277</v>
      </c>
      <c r="E398" t="s">
        <v>240</v>
      </c>
      <c r="F398" t="s">
        <v>11</v>
      </c>
      <c r="G398" t="s">
        <v>222</v>
      </c>
      <c r="H398">
        <v>3</v>
      </c>
      <c r="I398" t="s">
        <v>23</v>
      </c>
      <c r="J398" s="4" t="s">
        <v>22</v>
      </c>
      <c r="K398">
        <v>1.5869999999999999E-2</v>
      </c>
      <c r="L398">
        <v>32</v>
      </c>
      <c r="M398" t="s">
        <v>16</v>
      </c>
      <c r="N398" t="s">
        <v>17</v>
      </c>
      <c r="O398" s="3">
        <v>35961</v>
      </c>
      <c r="P398" s="3">
        <v>43844</v>
      </c>
      <c r="Q398" s="1">
        <v>0.76166337899543368</v>
      </c>
      <c r="R398" s="7">
        <v>21.597260273972601</v>
      </c>
      <c r="S398">
        <v>0.45</v>
      </c>
      <c r="T398" s="2">
        <v>0.7927485205479452</v>
      </c>
      <c r="U398" t="s">
        <v>24</v>
      </c>
    </row>
    <row r="399" spans="1:21" hidden="1" x14ac:dyDescent="0.25">
      <c r="A399" t="s">
        <v>94</v>
      </c>
      <c r="B399">
        <v>34.769385999999997</v>
      </c>
      <c r="C399">
        <v>-97.204419000000001</v>
      </c>
      <c r="D399" t="s">
        <v>277</v>
      </c>
      <c r="E399" t="s">
        <v>240</v>
      </c>
      <c r="F399" t="s">
        <v>11</v>
      </c>
      <c r="G399" t="s">
        <v>224</v>
      </c>
      <c r="H399">
        <v>0</v>
      </c>
      <c r="I399" t="s">
        <v>15</v>
      </c>
      <c r="J399" t="s">
        <v>14</v>
      </c>
      <c r="K399" t="s">
        <v>15</v>
      </c>
      <c r="L399">
        <v>32</v>
      </c>
      <c r="M399" t="s">
        <v>33</v>
      </c>
      <c r="N399" t="s">
        <v>17</v>
      </c>
      <c r="O399" s="3">
        <v>36845</v>
      </c>
      <c r="P399" s="3">
        <v>43844</v>
      </c>
      <c r="Q399" s="1" t="s">
        <v>14</v>
      </c>
      <c r="R399" s="7">
        <v>19.175342465753424</v>
      </c>
      <c r="S399" t="s">
        <v>14</v>
      </c>
      <c r="T399" t="s">
        <v>14</v>
      </c>
      <c r="U399" t="s">
        <v>19</v>
      </c>
    </row>
    <row r="400" spans="1:21" hidden="1" x14ac:dyDescent="0.25">
      <c r="A400" t="s">
        <v>94</v>
      </c>
      <c r="B400">
        <v>34.769385999999997</v>
      </c>
      <c r="C400">
        <v>-97.204419000000001</v>
      </c>
      <c r="D400" t="s">
        <v>277</v>
      </c>
      <c r="E400" t="s">
        <v>240</v>
      </c>
      <c r="F400" t="s">
        <v>11</v>
      </c>
      <c r="G400" t="s">
        <v>225</v>
      </c>
      <c r="H400">
        <v>0</v>
      </c>
      <c r="I400" t="s">
        <v>15</v>
      </c>
      <c r="J400" t="s">
        <v>14</v>
      </c>
      <c r="K400" s="2" t="s">
        <v>15</v>
      </c>
      <c r="L400">
        <v>32</v>
      </c>
      <c r="M400" t="s">
        <v>16</v>
      </c>
      <c r="N400" t="s">
        <v>16</v>
      </c>
      <c r="O400" s="3">
        <v>36845</v>
      </c>
      <c r="P400" s="3">
        <v>43326</v>
      </c>
      <c r="Q400" s="1" t="s">
        <v>14</v>
      </c>
      <c r="R400" s="7">
        <v>17.756164383561643</v>
      </c>
      <c r="S400" t="s">
        <v>14</v>
      </c>
      <c r="T400" t="s">
        <v>14</v>
      </c>
      <c r="U400" t="s">
        <v>21</v>
      </c>
    </row>
    <row r="401" spans="1:21" hidden="1" x14ac:dyDescent="0.25">
      <c r="A401" t="s">
        <v>94</v>
      </c>
      <c r="B401">
        <v>34.769385999999997</v>
      </c>
      <c r="C401">
        <v>-97.204419000000001</v>
      </c>
      <c r="D401" t="s">
        <v>277</v>
      </c>
      <c r="E401" t="s">
        <v>240</v>
      </c>
      <c r="F401" t="s">
        <v>11</v>
      </c>
      <c r="G401" t="s">
        <v>223</v>
      </c>
      <c r="H401">
        <v>0</v>
      </c>
      <c r="I401" t="s">
        <v>15</v>
      </c>
      <c r="J401" t="s">
        <v>14</v>
      </c>
      <c r="K401" t="s">
        <v>15</v>
      </c>
      <c r="L401">
        <v>39</v>
      </c>
      <c r="M401" t="s">
        <v>16</v>
      </c>
      <c r="N401" t="s">
        <v>16</v>
      </c>
      <c r="O401" s="3">
        <v>35961</v>
      </c>
      <c r="P401" s="3">
        <v>43844</v>
      </c>
      <c r="Q401" s="1" t="s">
        <v>14</v>
      </c>
      <c r="R401" s="7">
        <v>21.597260273972601</v>
      </c>
      <c r="S401" t="s">
        <v>14</v>
      </c>
      <c r="T401" t="s">
        <v>14</v>
      </c>
      <c r="U401" t="s">
        <v>24</v>
      </c>
    </row>
    <row r="402" spans="1:21" hidden="1" x14ac:dyDescent="0.25">
      <c r="A402" t="s">
        <v>94</v>
      </c>
      <c r="B402">
        <v>34.769385999999997</v>
      </c>
      <c r="C402">
        <v>-97.204419000000001</v>
      </c>
      <c r="D402" t="s">
        <v>277</v>
      </c>
      <c r="E402" t="s">
        <v>240</v>
      </c>
      <c r="F402" t="s">
        <v>11</v>
      </c>
      <c r="G402" t="s">
        <v>226</v>
      </c>
      <c r="H402">
        <v>0</v>
      </c>
      <c r="I402" t="s">
        <v>15</v>
      </c>
      <c r="J402" t="s">
        <v>14</v>
      </c>
      <c r="K402" t="s">
        <v>15</v>
      </c>
      <c r="L402">
        <v>26</v>
      </c>
      <c r="M402" t="s">
        <v>17</v>
      </c>
      <c r="N402" t="s">
        <v>17</v>
      </c>
      <c r="O402" s="3">
        <v>36845</v>
      </c>
      <c r="P402" s="3">
        <v>43844</v>
      </c>
      <c r="Q402" s="1" t="s">
        <v>14</v>
      </c>
      <c r="R402" s="7">
        <v>19.175342465753424</v>
      </c>
      <c r="S402" t="s">
        <v>14</v>
      </c>
      <c r="T402" t="s">
        <v>14</v>
      </c>
      <c r="U402" t="s">
        <v>27</v>
      </c>
    </row>
    <row r="403" spans="1:21" hidden="1" x14ac:dyDescent="0.25">
      <c r="A403" t="s">
        <v>95</v>
      </c>
      <c r="B403">
        <v>36.357633</v>
      </c>
      <c r="C403">
        <v>-96.806492000000006</v>
      </c>
      <c r="D403" t="s">
        <v>95</v>
      </c>
      <c r="E403" t="s">
        <v>240</v>
      </c>
      <c r="F403" t="s">
        <v>11</v>
      </c>
      <c r="G403" t="s">
        <v>221</v>
      </c>
      <c r="H403">
        <v>99</v>
      </c>
      <c r="I403" t="s">
        <v>15</v>
      </c>
      <c r="J403" t="s">
        <v>186</v>
      </c>
      <c r="K403" t="s">
        <v>15</v>
      </c>
      <c r="L403">
        <v>12</v>
      </c>
      <c r="M403" t="s">
        <v>16</v>
      </c>
      <c r="N403" t="s">
        <v>17</v>
      </c>
      <c r="O403" s="3" t="s">
        <v>186</v>
      </c>
      <c r="P403" s="3" t="s">
        <v>186</v>
      </c>
      <c r="Q403" s="1" t="s">
        <v>186</v>
      </c>
      <c r="R403" s="7" t="s">
        <v>186</v>
      </c>
      <c r="S403" t="s">
        <v>186</v>
      </c>
      <c r="T403" t="s">
        <v>186</v>
      </c>
      <c r="U403" t="s">
        <v>13</v>
      </c>
    </row>
    <row r="404" spans="1:21" hidden="1" x14ac:dyDescent="0.25">
      <c r="A404" t="s">
        <v>95</v>
      </c>
      <c r="B404">
        <v>36.357633</v>
      </c>
      <c r="C404">
        <v>-96.806492000000006</v>
      </c>
      <c r="D404" t="s">
        <v>95</v>
      </c>
      <c r="E404" t="s">
        <v>240</v>
      </c>
      <c r="F404" t="s">
        <v>11</v>
      </c>
      <c r="G404" t="s">
        <v>222</v>
      </c>
      <c r="H404">
        <v>99</v>
      </c>
      <c r="I404" t="s">
        <v>15</v>
      </c>
      <c r="J404" s="4" t="s">
        <v>186</v>
      </c>
      <c r="K404" t="s">
        <v>15</v>
      </c>
      <c r="L404">
        <v>16</v>
      </c>
      <c r="M404" t="s">
        <v>16</v>
      </c>
      <c r="N404" t="s">
        <v>16</v>
      </c>
      <c r="O404" s="3" t="s">
        <v>186</v>
      </c>
      <c r="P404" s="3" t="s">
        <v>186</v>
      </c>
      <c r="Q404" s="1" t="s">
        <v>186</v>
      </c>
      <c r="R404" s="7" t="s">
        <v>186</v>
      </c>
      <c r="S404" t="s">
        <v>186</v>
      </c>
      <c r="T404" t="s">
        <v>186</v>
      </c>
      <c r="U404" t="s">
        <v>24</v>
      </c>
    </row>
    <row r="405" spans="1:21" hidden="1" x14ac:dyDescent="0.25">
      <c r="A405" t="s">
        <v>95</v>
      </c>
      <c r="B405">
        <v>36.357633</v>
      </c>
      <c r="C405">
        <v>-96.806492000000006</v>
      </c>
      <c r="D405" t="s">
        <v>95</v>
      </c>
      <c r="E405" t="s">
        <v>240</v>
      </c>
      <c r="F405" t="s">
        <v>11</v>
      </c>
      <c r="G405" t="s">
        <v>224</v>
      </c>
      <c r="H405">
        <v>99</v>
      </c>
      <c r="I405" t="s">
        <v>15</v>
      </c>
      <c r="J405" s="4" t="s">
        <v>186</v>
      </c>
      <c r="K405" t="s">
        <v>15</v>
      </c>
      <c r="L405">
        <v>9</v>
      </c>
      <c r="M405" t="s">
        <v>16</v>
      </c>
      <c r="N405" t="s">
        <v>17</v>
      </c>
      <c r="O405" s="3" t="s">
        <v>186</v>
      </c>
      <c r="P405" s="3" t="s">
        <v>186</v>
      </c>
      <c r="Q405" s="1" t="s">
        <v>186</v>
      </c>
      <c r="R405" s="7" t="s">
        <v>186</v>
      </c>
      <c r="S405" t="s">
        <v>186</v>
      </c>
      <c r="T405" t="s">
        <v>186</v>
      </c>
      <c r="U405" t="s">
        <v>19</v>
      </c>
    </row>
    <row r="406" spans="1:21" hidden="1" x14ac:dyDescent="0.25">
      <c r="A406" t="s">
        <v>95</v>
      </c>
      <c r="B406">
        <v>36.357633</v>
      </c>
      <c r="C406">
        <v>-96.806492000000006</v>
      </c>
      <c r="D406" t="s">
        <v>95</v>
      </c>
      <c r="E406" t="s">
        <v>240</v>
      </c>
      <c r="F406" t="s">
        <v>11</v>
      </c>
      <c r="G406" t="s">
        <v>225</v>
      </c>
      <c r="H406">
        <v>99</v>
      </c>
      <c r="I406" t="s">
        <v>15</v>
      </c>
      <c r="J406" s="4" t="s">
        <v>186</v>
      </c>
      <c r="K406" t="s">
        <v>15</v>
      </c>
      <c r="L406">
        <v>16</v>
      </c>
      <c r="M406" t="s">
        <v>16</v>
      </c>
      <c r="N406" t="s">
        <v>16</v>
      </c>
      <c r="O406" s="3" t="s">
        <v>186</v>
      </c>
      <c r="P406" s="3" t="s">
        <v>186</v>
      </c>
      <c r="Q406" s="1" t="s">
        <v>186</v>
      </c>
      <c r="R406" s="7" t="s">
        <v>186</v>
      </c>
      <c r="S406" t="s">
        <v>186</v>
      </c>
      <c r="T406" t="s">
        <v>186</v>
      </c>
      <c r="U406" t="s">
        <v>21</v>
      </c>
    </row>
    <row r="407" spans="1:21" hidden="1" x14ac:dyDescent="0.25">
      <c r="A407" t="s">
        <v>95</v>
      </c>
      <c r="B407">
        <v>36.357633</v>
      </c>
      <c r="C407">
        <v>-96.806492000000006</v>
      </c>
      <c r="D407" t="s">
        <v>95</v>
      </c>
      <c r="E407" t="s">
        <v>240</v>
      </c>
      <c r="F407" t="s">
        <v>11</v>
      </c>
      <c r="G407" t="s">
        <v>223</v>
      </c>
      <c r="H407">
        <v>99</v>
      </c>
      <c r="I407" t="s">
        <v>15</v>
      </c>
      <c r="J407" s="4" t="s">
        <v>186</v>
      </c>
      <c r="K407" t="s">
        <v>15</v>
      </c>
      <c r="L407">
        <v>16</v>
      </c>
      <c r="M407" t="s">
        <v>16</v>
      </c>
      <c r="N407" t="s">
        <v>17</v>
      </c>
      <c r="O407" s="3" t="s">
        <v>186</v>
      </c>
      <c r="P407" s="3" t="s">
        <v>186</v>
      </c>
      <c r="Q407" s="1" t="s">
        <v>186</v>
      </c>
      <c r="R407" s="7" t="s">
        <v>186</v>
      </c>
      <c r="S407" t="s">
        <v>186</v>
      </c>
      <c r="T407" t="s">
        <v>186</v>
      </c>
      <c r="U407" t="s">
        <v>24</v>
      </c>
    </row>
    <row r="408" spans="1:21" hidden="1" x14ac:dyDescent="0.25">
      <c r="A408" t="s">
        <v>95</v>
      </c>
      <c r="B408">
        <v>36.357633</v>
      </c>
      <c r="C408">
        <v>-96.806492000000006</v>
      </c>
      <c r="D408" t="s">
        <v>95</v>
      </c>
      <c r="E408" t="s">
        <v>240</v>
      </c>
      <c r="F408" t="s">
        <v>11</v>
      </c>
      <c r="G408" t="s">
        <v>226</v>
      </c>
      <c r="H408">
        <v>99</v>
      </c>
      <c r="I408" t="s">
        <v>15</v>
      </c>
      <c r="J408" t="s">
        <v>186</v>
      </c>
      <c r="K408" t="s">
        <v>15</v>
      </c>
      <c r="L408">
        <v>16</v>
      </c>
      <c r="M408" t="s">
        <v>31</v>
      </c>
      <c r="N408" t="s">
        <v>17</v>
      </c>
      <c r="O408" s="3" t="s">
        <v>186</v>
      </c>
      <c r="P408" s="3" t="s">
        <v>186</v>
      </c>
      <c r="Q408" s="1" t="s">
        <v>186</v>
      </c>
      <c r="R408" s="7" t="s">
        <v>186</v>
      </c>
      <c r="S408" t="s">
        <v>186</v>
      </c>
      <c r="T408" t="s">
        <v>186</v>
      </c>
      <c r="U408" t="s">
        <v>27</v>
      </c>
    </row>
    <row r="409" spans="1:21" hidden="1" x14ac:dyDescent="0.25">
      <c r="A409" t="s">
        <v>96</v>
      </c>
      <c r="B409">
        <v>36.252986</v>
      </c>
      <c r="C409">
        <v>-97.337378000000001</v>
      </c>
      <c r="D409" t="s">
        <v>273</v>
      </c>
      <c r="E409" t="s">
        <v>240</v>
      </c>
      <c r="F409" t="s">
        <v>11</v>
      </c>
      <c r="G409" t="s">
        <v>221</v>
      </c>
      <c r="H409">
        <v>3</v>
      </c>
      <c r="I409" t="s">
        <v>23</v>
      </c>
      <c r="J409" s="4" t="s">
        <v>22</v>
      </c>
      <c r="K409">
        <v>0.21390000000000001</v>
      </c>
      <c r="L409">
        <v>27</v>
      </c>
      <c r="M409" t="s">
        <v>16</v>
      </c>
      <c r="N409" t="s">
        <v>16</v>
      </c>
      <c r="O409" s="3">
        <v>37735</v>
      </c>
      <c r="P409" s="3">
        <v>44921</v>
      </c>
      <c r="Q409" s="1">
        <v>0.93582063926940628</v>
      </c>
      <c r="R409" s="7">
        <v>19.687671232876713</v>
      </c>
      <c r="S409">
        <v>4.5</v>
      </c>
      <c r="T409" s="2">
        <v>8.7111928767123281</v>
      </c>
      <c r="U409" t="s">
        <v>13</v>
      </c>
    </row>
    <row r="410" spans="1:21" hidden="1" x14ac:dyDescent="0.25">
      <c r="A410" t="s">
        <v>96</v>
      </c>
      <c r="B410">
        <v>36.252986</v>
      </c>
      <c r="C410">
        <v>-97.337378000000001</v>
      </c>
      <c r="D410" t="s">
        <v>273</v>
      </c>
      <c r="E410" t="s">
        <v>240</v>
      </c>
      <c r="F410" t="s">
        <v>11</v>
      </c>
      <c r="G410" t="s">
        <v>222</v>
      </c>
      <c r="H410">
        <v>0</v>
      </c>
      <c r="I410" t="s">
        <v>15</v>
      </c>
      <c r="J410" t="s">
        <v>14</v>
      </c>
      <c r="K410" t="s">
        <v>15</v>
      </c>
      <c r="L410">
        <v>31</v>
      </c>
      <c r="M410" t="s">
        <v>16</v>
      </c>
      <c r="N410" t="s">
        <v>33</v>
      </c>
      <c r="O410" s="3">
        <v>36444</v>
      </c>
      <c r="P410" s="3">
        <v>44886</v>
      </c>
      <c r="Q410" s="1" t="s">
        <v>14</v>
      </c>
      <c r="R410" s="7">
        <v>23.12876712328767</v>
      </c>
      <c r="S410" t="s">
        <v>14</v>
      </c>
      <c r="T410" t="s">
        <v>14</v>
      </c>
      <c r="U410" t="s">
        <v>24</v>
      </c>
    </row>
    <row r="411" spans="1:21" hidden="1" x14ac:dyDescent="0.25">
      <c r="A411" t="s">
        <v>96</v>
      </c>
      <c r="B411">
        <v>36.252986</v>
      </c>
      <c r="C411">
        <v>-97.337378000000001</v>
      </c>
      <c r="D411" t="s">
        <v>273</v>
      </c>
      <c r="E411" t="s">
        <v>240</v>
      </c>
      <c r="F411" t="s">
        <v>11</v>
      </c>
      <c r="G411" t="s">
        <v>224</v>
      </c>
      <c r="H411">
        <v>1</v>
      </c>
      <c r="I411" t="s">
        <v>23</v>
      </c>
      <c r="J411" s="5" t="s">
        <v>40</v>
      </c>
      <c r="K411">
        <v>1.1539999999999999</v>
      </c>
      <c r="L411">
        <v>22</v>
      </c>
      <c r="M411" t="s">
        <v>17</v>
      </c>
      <c r="N411" t="s">
        <v>16</v>
      </c>
      <c r="O411" s="3">
        <v>38308</v>
      </c>
      <c r="P411" s="3">
        <v>44918</v>
      </c>
      <c r="Q411" s="1">
        <v>1.0999192501802453</v>
      </c>
      <c r="R411" s="7">
        <v>18.109589041095891</v>
      </c>
      <c r="S411">
        <v>19</v>
      </c>
      <c r="T411" s="2">
        <v>39.898465753424659</v>
      </c>
      <c r="U411" t="s">
        <v>19</v>
      </c>
    </row>
    <row r="412" spans="1:21" hidden="1" x14ac:dyDescent="0.25">
      <c r="A412" t="s">
        <v>96</v>
      </c>
      <c r="B412">
        <v>36.252986</v>
      </c>
      <c r="C412">
        <v>-97.337378000000001</v>
      </c>
      <c r="D412" t="s">
        <v>273</v>
      </c>
      <c r="E412" t="s">
        <v>240</v>
      </c>
      <c r="F412" t="s">
        <v>11</v>
      </c>
      <c r="G412" t="s">
        <v>225</v>
      </c>
      <c r="H412">
        <v>3</v>
      </c>
      <c r="I412" t="s">
        <v>23</v>
      </c>
      <c r="J412" t="s">
        <v>22</v>
      </c>
      <c r="K412" s="2">
        <v>9.0399999999999991</v>
      </c>
      <c r="L412">
        <v>28</v>
      </c>
      <c r="M412" t="s">
        <v>16</v>
      </c>
      <c r="N412" t="s">
        <v>16</v>
      </c>
      <c r="O412" s="3">
        <v>36444</v>
      </c>
      <c r="P412" s="3">
        <v>44886</v>
      </c>
      <c r="Q412" s="1">
        <v>0.88971938210434265</v>
      </c>
      <c r="R412" s="7">
        <v>23.12876712328767</v>
      </c>
      <c r="S412">
        <v>235</v>
      </c>
      <c r="T412" s="2">
        <v>444.08405479452051</v>
      </c>
      <c r="U412" t="s">
        <v>21</v>
      </c>
    </row>
    <row r="413" spans="1:21" hidden="1" x14ac:dyDescent="0.25">
      <c r="A413" t="s">
        <v>96</v>
      </c>
      <c r="B413">
        <v>36.252986</v>
      </c>
      <c r="C413">
        <v>-97.337378000000001</v>
      </c>
      <c r="D413" t="s">
        <v>273</v>
      </c>
      <c r="E413" t="s">
        <v>240</v>
      </c>
      <c r="F413" t="s">
        <v>11</v>
      </c>
      <c r="G413" t="s">
        <v>223</v>
      </c>
      <c r="H413">
        <v>-3</v>
      </c>
      <c r="I413" t="s">
        <v>29</v>
      </c>
      <c r="J413" s="4" t="s">
        <v>32</v>
      </c>
      <c r="K413">
        <v>-1.4729999999999999E-3</v>
      </c>
      <c r="L413">
        <v>31</v>
      </c>
      <c r="M413" t="s">
        <v>16</v>
      </c>
      <c r="N413" t="s">
        <v>16</v>
      </c>
      <c r="O413" s="3">
        <v>36444</v>
      </c>
      <c r="P413" s="3">
        <v>44886</v>
      </c>
      <c r="Q413" s="1">
        <v>-0.30971521793275208</v>
      </c>
      <c r="R413" s="7">
        <v>23.12876712328767</v>
      </c>
      <c r="S413">
        <v>0.11</v>
      </c>
      <c r="T413" s="2">
        <v>7.5931326027397272E-2</v>
      </c>
      <c r="U413" t="s">
        <v>24</v>
      </c>
    </row>
    <row r="414" spans="1:21" hidden="1" x14ac:dyDescent="0.25">
      <c r="A414" t="s">
        <v>96</v>
      </c>
      <c r="B414">
        <v>36.252986</v>
      </c>
      <c r="C414">
        <v>-97.337378000000001</v>
      </c>
      <c r="D414" t="s">
        <v>273</v>
      </c>
      <c r="E414" t="s">
        <v>240</v>
      </c>
      <c r="F414" t="s">
        <v>11</v>
      </c>
      <c r="G414" t="s">
        <v>226</v>
      </c>
      <c r="H414">
        <v>-3</v>
      </c>
      <c r="I414" t="s">
        <v>29</v>
      </c>
      <c r="J414" s="4" t="s">
        <v>32</v>
      </c>
      <c r="K414">
        <v>-2.0680000000000001</v>
      </c>
      <c r="L414">
        <v>26</v>
      </c>
      <c r="M414" t="s">
        <v>31</v>
      </c>
      <c r="N414" t="s">
        <v>33</v>
      </c>
      <c r="O414" s="3">
        <v>38308</v>
      </c>
      <c r="P414" s="3">
        <v>44886</v>
      </c>
      <c r="Q414" s="1">
        <v>-0.62115543378995441</v>
      </c>
      <c r="R414" s="7">
        <v>18.021917808219179</v>
      </c>
      <c r="S414">
        <v>60</v>
      </c>
      <c r="T414" s="2">
        <v>22.730673972602737</v>
      </c>
      <c r="U414" t="s">
        <v>27</v>
      </c>
    </row>
    <row r="415" spans="1:21" hidden="1" x14ac:dyDescent="0.25">
      <c r="A415" t="s">
        <v>97</v>
      </c>
      <c r="B415">
        <v>34.113230999999999</v>
      </c>
      <c r="C415">
        <v>-95.078511000000006</v>
      </c>
      <c r="D415" t="s">
        <v>246</v>
      </c>
      <c r="E415" t="s">
        <v>240</v>
      </c>
      <c r="F415" t="s">
        <v>11</v>
      </c>
      <c r="G415" t="s">
        <v>221</v>
      </c>
      <c r="H415">
        <v>1</v>
      </c>
      <c r="I415" t="s">
        <v>23</v>
      </c>
      <c r="J415" s="4" t="s">
        <v>40</v>
      </c>
      <c r="K415">
        <v>0.37580000000000002</v>
      </c>
      <c r="L415">
        <v>31</v>
      </c>
      <c r="M415" t="s">
        <v>17</v>
      </c>
      <c r="N415" t="s">
        <v>17</v>
      </c>
      <c r="O415" s="3">
        <v>37475</v>
      </c>
      <c r="P415" s="3">
        <v>44453</v>
      </c>
      <c r="Q415" s="1">
        <v>0.75626024513338164</v>
      </c>
      <c r="R415" s="7">
        <v>19.117808219178084</v>
      </c>
      <c r="S415">
        <v>9.5</v>
      </c>
      <c r="T415" s="2">
        <v>16.684472328767125</v>
      </c>
      <c r="U415" t="s">
        <v>13</v>
      </c>
    </row>
    <row r="416" spans="1:21" hidden="1" x14ac:dyDescent="0.25">
      <c r="A416" t="s">
        <v>97</v>
      </c>
      <c r="B416">
        <v>34.113230999999999</v>
      </c>
      <c r="C416">
        <v>-95.078511000000006</v>
      </c>
      <c r="D416" t="s">
        <v>246</v>
      </c>
      <c r="E416" t="s">
        <v>240</v>
      </c>
      <c r="F416" t="s">
        <v>11</v>
      </c>
      <c r="G416" t="s">
        <v>222</v>
      </c>
      <c r="H416">
        <v>0</v>
      </c>
      <c r="I416" t="s">
        <v>15</v>
      </c>
      <c r="J416" t="s">
        <v>14</v>
      </c>
      <c r="K416" t="s">
        <v>15</v>
      </c>
      <c r="L416">
        <v>38</v>
      </c>
      <c r="M416" t="s">
        <v>16</v>
      </c>
      <c r="N416" t="s">
        <v>16</v>
      </c>
      <c r="O416" s="3">
        <v>35933</v>
      </c>
      <c r="P416" s="3">
        <v>44453</v>
      </c>
      <c r="Q416" s="1" t="s">
        <v>14</v>
      </c>
      <c r="R416" s="7">
        <v>23.342465753424658</v>
      </c>
      <c r="S416" t="s">
        <v>14</v>
      </c>
      <c r="T416" t="s">
        <v>14</v>
      </c>
      <c r="U416" t="s">
        <v>24</v>
      </c>
    </row>
    <row r="417" spans="1:21" hidden="1" x14ac:dyDescent="0.25">
      <c r="A417" t="s">
        <v>97</v>
      </c>
      <c r="B417">
        <v>34.113230999999999</v>
      </c>
      <c r="C417">
        <v>-95.078511000000006</v>
      </c>
      <c r="D417" t="s">
        <v>246</v>
      </c>
      <c r="E417" t="s">
        <v>240</v>
      </c>
      <c r="F417" t="s">
        <v>11</v>
      </c>
      <c r="G417" t="s">
        <v>224</v>
      </c>
      <c r="H417">
        <v>-1</v>
      </c>
      <c r="I417" t="s">
        <v>29</v>
      </c>
      <c r="J417" s="4" t="s">
        <v>28</v>
      </c>
      <c r="K417">
        <v>-0.98509999999999998</v>
      </c>
      <c r="L417">
        <v>27</v>
      </c>
      <c r="M417" t="s">
        <v>17</v>
      </c>
      <c r="N417" t="s">
        <v>17</v>
      </c>
      <c r="O417" s="3">
        <v>37915</v>
      </c>
      <c r="P417" s="3">
        <v>44453</v>
      </c>
      <c r="Q417" s="1">
        <v>-0.22622352651914296</v>
      </c>
      <c r="R417" s="7">
        <v>17.912328767123288</v>
      </c>
      <c r="S417">
        <v>78</v>
      </c>
      <c r="T417" s="2">
        <v>60.35456493150685</v>
      </c>
      <c r="U417" t="s">
        <v>19</v>
      </c>
    </row>
    <row r="418" spans="1:21" hidden="1" x14ac:dyDescent="0.25">
      <c r="A418" t="s">
        <v>97</v>
      </c>
      <c r="B418">
        <v>34.113230999999999</v>
      </c>
      <c r="C418">
        <v>-95.078511000000006</v>
      </c>
      <c r="D418" t="s">
        <v>246</v>
      </c>
      <c r="E418" t="s">
        <v>240</v>
      </c>
      <c r="F418" t="s">
        <v>11</v>
      </c>
      <c r="G418" t="s">
        <v>225</v>
      </c>
      <c r="H418">
        <v>3</v>
      </c>
      <c r="I418" t="s">
        <v>23</v>
      </c>
      <c r="J418" t="s">
        <v>22</v>
      </c>
      <c r="K418" s="2">
        <v>0.85250000000000004</v>
      </c>
      <c r="L418">
        <v>40</v>
      </c>
      <c r="M418" t="s">
        <v>16</v>
      </c>
      <c r="N418" t="s">
        <v>31</v>
      </c>
      <c r="O418" s="3">
        <v>35933</v>
      </c>
      <c r="P418" s="3">
        <v>44405</v>
      </c>
      <c r="Q418" s="1">
        <v>0.76105163329820869</v>
      </c>
      <c r="R418" s="7">
        <v>23.210958904109589</v>
      </c>
      <c r="S418">
        <v>26</v>
      </c>
      <c r="T418" s="2">
        <v>45.787342465753426</v>
      </c>
      <c r="U418" t="s">
        <v>21</v>
      </c>
    </row>
    <row r="419" spans="1:21" hidden="1" x14ac:dyDescent="0.25">
      <c r="A419" t="s">
        <v>97</v>
      </c>
      <c r="B419">
        <v>34.113230999999999</v>
      </c>
      <c r="C419">
        <v>-95.078511000000006</v>
      </c>
      <c r="D419" t="s">
        <v>246</v>
      </c>
      <c r="E419" t="s">
        <v>240</v>
      </c>
      <c r="F419" t="s">
        <v>11</v>
      </c>
      <c r="G419" t="s">
        <v>223</v>
      </c>
      <c r="H419">
        <v>3</v>
      </c>
      <c r="I419" t="s">
        <v>23</v>
      </c>
      <c r="J419" s="4" t="s">
        <v>22</v>
      </c>
      <c r="K419">
        <v>5.4500000000000002E-4</v>
      </c>
      <c r="L419">
        <v>38</v>
      </c>
      <c r="M419" t="s">
        <v>16</v>
      </c>
      <c r="N419" t="s">
        <v>17</v>
      </c>
      <c r="O419" s="3">
        <v>35933</v>
      </c>
      <c r="P419" s="3">
        <v>44453</v>
      </c>
      <c r="Q419" s="1">
        <v>0.53006849315068505</v>
      </c>
      <c r="R419" s="7">
        <v>23.342465753424658</v>
      </c>
      <c r="S419">
        <v>2.4E-2</v>
      </c>
      <c r="T419" s="2">
        <v>3.6721643835616442E-2</v>
      </c>
      <c r="U419" t="s">
        <v>24</v>
      </c>
    </row>
    <row r="420" spans="1:21" hidden="1" x14ac:dyDescent="0.25">
      <c r="A420" t="s">
        <v>97</v>
      </c>
      <c r="B420">
        <v>34.113230999999999</v>
      </c>
      <c r="C420">
        <v>-95.078511000000006</v>
      </c>
      <c r="D420" t="s">
        <v>246</v>
      </c>
      <c r="E420" t="s">
        <v>240</v>
      </c>
      <c r="F420" t="s">
        <v>11</v>
      </c>
      <c r="G420" t="s">
        <v>226</v>
      </c>
      <c r="H420">
        <v>0</v>
      </c>
      <c r="I420" t="s">
        <v>15</v>
      </c>
      <c r="J420" t="s">
        <v>14</v>
      </c>
      <c r="K420" t="s">
        <v>15</v>
      </c>
      <c r="L420">
        <v>27</v>
      </c>
      <c r="M420" t="s">
        <v>17</v>
      </c>
      <c r="N420" t="s">
        <v>17</v>
      </c>
      <c r="O420" s="3">
        <v>37915</v>
      </c>
      <c r="P420" s="3">
        <v>44453</v>
      </c>
      <c r="Q420" s="1" t="s">
        <v>14</v>
      </c>
      <c r="R420" s="7">
        <v>17.912328767123288</v>
      </c>
      <c r="S420" t="s">
        <v>14</v>
      </c>
      <c r="T420" t="s">
        <v>14</v>
      </c>
      <c r="U420" t="s">
        <v>27</v>
      </c>
    </row>
    <row r="421" spans="1:21" hidden="1" x14ac:dyDescent="0.25">
      <c r="A421" t="s">
        <v>98</v>
      </c>
      <c r="B421">
        <v>36.721491999999998</v>
      </c>
      <c r="C421">
        <v>-97.025435999999999</v>
      </c>
      <c r="D421" t="s">
        <v>278</v>
      </c>
      <c r="E421" t="s">
        <v>240</v>
      </c>
      <c r="F421" t="s">
        <v>11</v>
      </c>
      <c r="G421" t="s">
        <v>221</v>
      </c>
      <c r="H421">
        <v>3</v>
      </c>
      <c r="I421" t="s">
        <v>23</v>
      </c>
      <c r="J421" s="4" t="s">
        <v>22</v>
      </c>
      <c r="K421">
        <v>0.79</v>
      </c>
      <c r="L421">
        <v>39</v>
      </c>
      <c r="M421" t="s">
        <v>16</v>
      </c>
      <c r="N421" t="s">
        <v>17</v>
      </c>
      <c r="O421" s="3">
        <v>37628</v>
      </c>
      <c r="P421" s="3">
        <v>44930</v>
      </c>
      <c r="Q421" s="1">
        <v>1.7560365296803653</v>
      </c>
      <c r="R421" s="7">
        <v>20.005479452054793</v>
      </c>
      <c r="S421">
        <v>9</v>
      </c>
      <c r="T421" s="2">
        <v>24.804328767123287</v>
      </c>
      <c r="U421" t="s">
        <v>13</v>
      </c>
    </row>
    <row r="422" spans="1:21" hidden="1" x14ac:dyDescent="0.25">
      <c r="A422" t="s">
        <v>98</v>
      </c>
      <c r="B422">
        <v>36.721491999999998</v>
      </c>
      <c r="C422">
        <v>-97.025435999999999</v>
      </c>
      <c r="D422" t="s">
        <v>278</v>
      </c>
      <c r="E422" t="s">
        <v>240</v>
      </c>
      <c r="F422" t="s">
        <v>11</v>
      </c>
      <c r="G422" t="s">
        <v>222</v>
      </c>
      <c r="H422">
        <v>3</v>
      </c>
      <c r="I422" t="s">
        <v>23</v>
      </c>
      <c r="J422" s="4" t="s">
        <v>22</v>
      </c>
      <c r="K422">
        <v>1.1050000000000001E-2</v>
      </c>
      <c r="L422">
        <v>42</v>
      </c>
      <c r="M422" t="s">
        <v>16</v>
      </c>
      <c r="N422" t="s">
        <v>17</v>
      </c>
      <c r="O422" s="3">
        <v>36466</v>
      </c>
      <c r="P422" s="3">
        <v>44894</v>
      </c>
      <c r="Q422" s="1">
        <v>0.3401987214611874</v>
      </c>
      <c r="R422" s="7">
        <v>23.090410958904108</v>
      </c>
      <c r="S422">
        <v>0.75</v>
      </c>
      <c r="T422" s="2">
        <v>1.0051490410958905</v>
      </c>
      <c r="U422" t="s">
        <v>24</v>
      </c>
    </row>
    <row r="423" spans="1:21" hidden="1" x14ac:dyDescent="0.25">
      <c r="A423" t="s">
        <v>98</v>
      </c>
      <c r="B423">
        <v>36.721491999999998</v>
      </c>
      <c r="C423">
        <v>-97.025435999999999</v>
      </c>
      <c r="D423" t="s">
        <v>278</v>
      </c>
      <c r="E423" t="s">
        <v>240</v>
      </c>
      <c r="F423" t="s">
        <v>11</v>
      </c>
      <c r="G423" t="s">
        <v>224</v>
      </c>
      <c r="H423">
        <v>0</v>
      </c>
      <c r="I423" t="s">
        <v>15</v>
      </c>
      <c r="J423" t="s">
        <v>14</v>
      </c>
      <c r="K423" t="s">
        <v>15</v>
      </c>
      <c r="L423">
        <v>25</v>
      </c>
      <c r="M423" t="s">
        <v>16</v>
      </c>
      <c r="N423" t="s">
        <v>17</v>
      </c>
      <c r="O423" s="3">
        <v>38313</v>
      </c>
      <c r="P423" s="3">
        <v>44894</v>
      </c>
      <c r="Q423" s="1" t="s">
        <v>14</v>
      </c>
      <c r="R423" s="7">
        <v>18.030136986301368</v>
      </c>
      <c r="S423" t="s">
        <v>14</v>
      </c>
      <c r="T423" t="s">
        <v>14</v>
      </c>
      <c r="U423" t="s">
        <v>19</v>
      </c>
    </row>
    <row r="424" spans="1:21" hidden="1" x14ac:dyDescent="0.25">
      <c r="A424" t="s">
        <v>98</v>
      </c>
      <c r="B424">
        <v>36.721491999999998</v>
      </c>
      <c r="C424">
        <v>-97.025435999999999</v>
      </c>
      <c r="D424" t="s">
        <v>278</v>
      </c>
      <c r="E424" t="s">
        <v>240</v>
      </c>
      <c r="F424" t="s">
        <v>11</v>
      </c>
      <c r="G424" t="s">
        <v>225</v>
      </c>
      <c r="H424">
        <v>2</v>
      </c>
      <c r="I424" t="s">
        <v>23</v>
      </c>
      <c r="J424" t="s">
        <v>38</v>
      </c>
      <c r="K424" s="2">
        <v>2.04</v>
      </c>
      <c r="L424">
        <v>37</v>
      </c>
      <c r="M424" t="s">
        <v>16</v>
      </c>
      <c r="N424" t="s">
        <v>17</v>
      </c>
      <c r="O424" s="3">
        <v>35937</v>
      </c>
      <c r="P424" s="3">
        <v>44852</v>
      </c>
      <c r="Q424" s="1">
        <v>0.16608767123287674</v>
      </c>
      <c r="R424" s="7">
        <v>24.424657534246574</v>
      </c>
      <c r="S424">
        <v>300</v>
      </c>
      <c r="T424" s="2">
        <v>349.82630136986302</v>
      </c>
      <c r="U424" t="s">
        <v>21</v>
      </c>
    </row>
    <row r="425" spans="1:21" hidden="1" x14ac:dyDescent="0.25">
      <c r="A425" t="s">
        <v>98</v>
      </c>
      <c r="B425">
        <v>36.721491999999998</v>
      </c>
      <c r="C425">
        <v>-97.025435999999999</v>
      </c>
      <c r="D425" t="s">
        <v>278</v>
      </c>
      <c r="E425" t="s">
        <v>240</v>
      </c>
      <c r="F425" t="s">
        <v>11</v>
      </c>
      <c r="G425" t="s">
        <v>223</v>
      </c>
      <c r="H425">
        <v>0</v>
      </c>
      <c r="I425" t="s">
        <v>15</v>
      </c>
      <c r="J425" t="s">
        <v>14</v>
      </c>
      <c r="K425" t="s">
        <v>15</v>
      </c>
      <c r="L425">
        <v>37</v>
      </c>
      <c r="M425" t="s">
        <v>16</v>
      </c>
      <c r="N425" t="s">
        <v>17</v>
      </c>
      <c r="O425" s="3">
        <v>36466</v>
      </c>
      <c r="P425" s="3">
        <v>44894</v>
      </c>
      <c r="Q425" s="1" t="s">
        <v>14</v>
      </c>
      <c r="R425" s="7">
        <v>23.090410958904108</v>
      </c>
      <c r="S425" t="s">
        <v>14</v>
      </c>
      <c r="T425" t="s">
        <v>14</v>
      </c>
      <c r="U425" t="s">
        <v>24</v>
      </c>
    </row>
    <row r="426" spans="1:21" hidden="1" x14ac:dyDescent="0.25">
      <c r="A426" t="s">
        <v>98</v>
      </c>
      <c r="B426">
        <v>36.721491999999998</v>
      </c>
      <c r="C426">
        <v>-97.025435999999999</v>
      </c>
      <c r="D426" t="s">
        <v>278</v>
      </c>
      <c r="E426" t="s">
        <v>240</v>
      </c>
      <c r="F426" t="s">
        <v>11</v>
      </c>
      <c r="G426" t="s">
        <v>226</v>
      </c>
      <c r="H426">
        <v>-2</v>
      </c>
      <c r="I426" t="s">
        <v>29</v>
      </c>
      <c r="J426" s="4" t="s">
        <v>34</v>
      </c>
      <c r="K426">
        <v>-0.15970000000000001</v>
      </c>
      <c r="L426">
        <v>30</v>
      </c>
      <c r="M426" t="s">
        <v>17</v>
      </c>
      <c r="N426" t="s">
        <v>17</v>
      </c>
      <c r="O426" s="3">
        <v>38313</v>
      </c>
      <c r="P426" s="3">
        <v>44926</v>
      </c>
      <c r="Q426" s="1">
        <v>-0.26303763387297641</v>
      </c>
      <c r="R426" s="7">
        <v>18.117808219178084</v>
      </c>
      <c r="S426">
        <v>11</v>
      </c>
      <c r="T426" s="2">
        <v>8.1065860273972596</v>
      </c>
      <c r="U426" t="s">
        <v>27</v>
      </c>
    </row>
    <row r="427" spans="1:21" hidden="1" x14ac:dyDescent="0.25">
      <c r="A427" t="s">
        <v>99</v>
      </c>
      <c r="B427">
        <v>34.745888999999998</v>
      </c>
      <c r="C427">
        <v>-97.056635999999997</v>
      </c>
      <c r="D427" t="s">
        <v>277</v>
      </c>
      <c r="E427" t="s">
        <v>240</v>
      </c>
      <c r="F427" t="s">
        <v>11</v>
      </c>
      <c r="G427" t="s">
        <v>221</v>
      </c>
      <c r="H427">
        <v>3</v>
      </c>
      <c r="I427" t="s">
        <v>23</v>
      </c>
      <c r="J427" s="4" t="s">
        <v>22</v>
      </c>
      <c r="K427">
        <v>0.54449999999999998</v>
      </c>
      <c r="L427">
        <v>27</v>
      </c>
      <c r="M427" t="s">
        <v>16</v>
      </c>
      <c r="N427" t="s">
        <v>17</v>
      </c>
      <c r="O427" s="3">
        <v>37566</v>
      </c>
      <c r="P427" s="3">
        <v>43723</v>
      </c>
      <c r="Q427" s="1">
        <v>0.91848945205479426</v>
      </c>
      <c r="R427" s="7">
        <v>16.86849315068493</v>
      </c>
      <c r="S427">
        <v>10</v>
      </c>
      <c r="T427" s="2">
        <v>19.184894520547942</v>
      </c>
      <c r="U427" t="s">
        <v>13</v>
      </c>
    </row>
    <row r="428" spans="1:21" hidden="1" x14ac:dyDescent="0.25">
      <c r="A428" t="s">
        <v>99</v>
      </c>
      <c r="B428">
        <v>34.745888999999998</v>
      </c>
      <c r="C428">
        <v>-97.056635999999997</v>
      </c>
      <c r="D428" t="s">
        <v>277</v>
      </c>
      <c r="E428" t="s">
        <v>240</v>
      </c>
      <c r="F428" t="s">
        <v>11</v>
      </c>
      <c r="G428" t="s">
        <v>222</v>
      </c>
      <c r="H428">
        <v>3</v>
      </c>
      <c r="I428" t="s">
        <v>23</v>
      </c>
      <c r="J428" s="4" t="s">
        <v>22</v>
      </c>
      <c r="K428">
        <v>1.5140000000000001E-2</v>
      </c>
      <c r="L428">
        <v>32</v>
      </c>
      <c r="M428" t="s">
        <v>33</v>
      </c>
      <c r="N428" t="s">
        <v>17</v>
      </c>
      <c r="O428" s="3">
        <v>36845</v>
      </c>
      <c r="P428" s="3">
        <v>43683</v>
      </c>
      <c r="Q428" s="1">
        <v>0.37818199086757992</v>
      </c>
      <c r="R428" s="7">
        <v>18.734246575342464</v>
      </c>
      <c r="S428">
        <v>0.75</v>
      </c>
      <c r="T428" s="2">
        <v>1.033636493150685</v>
      </c>
      <c r="U428" t="s">
        <v>24</v>
      </c>
    </row>
    <row r="429" spans="1:21" hidden="1" x14ac:dyDescent="0.25">
      <c r="A429" t="s">
        <v>99</v>
      </c>
      <c r="B429">
        <v>34.745888999999998</v>
      </c>
      <c r="C429">
        <v>-97.056635999999997</v>
      </c>
      <c r="D429" t="s">
        <v>277</v>
      </c>
      <c r="E429" t="s">
        <v>240</v>
      </c>
      <c r="F429" t="s">
        <v>11</v>
      </c>
      <c r="G429" t="s">
        <v>224</v>
      </c>
      <c r="H429">
        <v>0</v>
      </c>
      <c r="I429" t="s">
        <v>15</v>
      </c>
      <c r="J429" t="s">
        <v>14</v>
      </c>
      <c r="K429" t="s">
        <v>15</v>
      </c>
      <c r="L429">
        <v>21</v>
      </c>
      <c r="M429" t="s">
        <v>17</v>
      </c>
      <c r="N429" t="s">
        <v>16</v>
      </c>
      <c r="O429" s="3">
        <v>36845</v>
      </c>
      <c r="P429" s="3">
        <v>43683</v>
      </c>
      <c r="Q429" s="1" t="s">
        <v>14</v>
      </c>
      <c r="R429" s="7">
        <v>18.734246575342464</v>
      </c>
      <c r="S429" t="s">
        <v>14</v>
      </c>
      <c r="T429" t="s">
        <v>14</v>
      </c>
      <c r="U429" t="s">
        <v>19</v>
      </c>
    </row>
    <row r="430" spans="1:21" hidden="1" x14ac:dyDescent="0.25">
      <c r="A430" t="s">
        <v>99</v>
      </c>
      <c r="B430">
        <v>34.745888999999998</v>
      </c>
      <c r="C430">
        <v>-97.056635999999997</v>
      </c>
      <c r="D430" t="s">
        <v>277</v>
      </c>
      <c r="E430" t="s">
        <v>240</v>
      </c>
      <c r="F430" t="s">
        <v>11</v>
      </c>
      <c r="G430" t="s">
        <v>225</v>
      </c>
      <c r="H430">
        <v>-3</v>
      </c>
      <c r="I430" t="s">
        <v>29</v>
      </c>
      <c r="J430" t="s">
        <v>32</v>
      </c>
      <c r="K430" s="2">
        <v>-2.1150000000000002</v>
      </c>
      <c r="L430">
        <v>23</v>
      </c>
      <c r="M430" t="s">
        <v>16</v>
      </c>
      <c r="N430" t="s">
        <v>17</v>
      </c>
      <c r="O430" s="3">
        <v>37576</v>
      </c>
      <c r="P430" s="3">
        <v>43683</v>
      </c>
      <c r="Q430" s="1">
        <v>-0.11995639656373341</v>
      </c>
      <c r="R430" s="7">
        <v>16.731506849315068</v>
      </c>
      <c r="S430">
        <v>295</v>
      </c>
      <c r="T430" s="2">
        <v>259.61286301369864</v>
      </c>
      <c r="U430" t="s">
        <v>21</v>
      </c>
    </row>
    <row r="431" spans="1:21" hidden="1" x14ac:dyDescent="0.25">
      <c r="A431" t="s">
        <v>99</v>
      </c>
      <c r="B431">
        <v>34.745888999999998</v>
      </c>
      <c r="C431">
        <v>-97.056635999999997</v>
      </c>
      <c r="D431" t="s">
        <v>277</v>
      </c>
      <c r="E431" t="s">
        <v>240</v>
      </c>
      <c r="F431" t="s">
        <v>11</v>
      </c>
      <c r="G431" t="s">
        <v>223</v>
      </c>
      <c r="H431">
        <v>0</v>
      </c>
      <c r="I431" t="s">
        <v>15</v>
      </c>
      <c r="J431" t="s">
        <v>14</v>
      </c>
      <c r="K431" t="s">
        <v>15</v>
      </c>
      <c r="L431">
        <v>32</v>
      </c>
      <c r="M431" t="s">
        <v>16</v>
      </c>
      <c r="N431" t="s">
        <v>16</v>
      </c>
      <c r="O431" s="3">
        <v>36845</v>
      </c>
      <c r="P431" s="3">
        <v>43683</v>
      </c>
      <c r="Q431" s="1" t="s">
        <v>14</v>
      </c>
      <c r="R431" s="7">
        <v>18.734246575342464</v>
      </c>
      <c r="S431" t="s">
        <v>14</v>
      </c>
      <c r="T431" t="s">
        <v>14</v>
      </c>
      <c r="U431" t="s">
        <v>24</v>
      </c>
    </row>
    <row r="432" spans="1:21" hidden="1" x14ac:dyDescent="0.25">
      <c r="A432" t="s">
        <v>99</v>
      </c>
      <c r="B432">
        <v>34.745888999999998</v>
      </c>
      <c r="C432">
        <v>-97.056635999999997</v>
      </c>
      <c r="D432" t="s">
        <v>277</v>
      </c>
      <c r="E432" t="s">
        <v>240</v>
      </c>
      <c r="F432" t="s">
        <v>11</v>
      </c>
      <c r="G432" t="s">
        <v>226</v>
      </c>
      <c r="H432">
        <v>0</v>
      </c>
      <c r="I432" t="s">
        <v>15</v>
      </c>
      <c r="J432" t="s">
        <v>14</v>
      </c>
      <c r="K432" t="s">
        <v>15</v>
      </c>
      <c r="L432">
        <v>24</v>
      </c>
      <c r="M432" t="s">
        <v>16</v>
      </c>
      <c r="N432" t="s">
        <v>31</v>
      </c>
      <c r="O432" s="3">
        <v>36845</v>
      </c>
      <c r="P432" s="3">
        <v>43683</v>
      </c>
      <c r="Q432" s="1" t="s">
        <v>14</v>
      </c>
      <c r="R432" s="7">
        <v>18.734246575342464</v>
      </c>
      <c r="S432" t="s">
        <v>14</v>
      </c>
      <c r="T432" t="s">
        <v>14</v>
      </c>
      <c r="U432" t="s">
        <v>27</v>
      </c>
    </row>
    <row r="433" spans="1:21" hidden="1" x14ac:dyDescent="0.25">
      <c r="A433" t="s">
        <v>100</v>
      </c>
      <c r="B433">
        <v>35.167161</v>
      </c>
      <c r="C433">
        <v>-99.074258</v>
      </c>
      <c r="D433" t="s">
        <v>252</v>
      </c>
      <c r="E433" t="s">
        <v>240</v>
      </c>
      <c r="F433" t="s">
        <v>11</v>
      </c>
      <c r="G433" t="s">
        <v>221</v>
      </c>
      <c r="H433">
        <v>2</v>
      </c>
      <c r="I433" t="s">
        <v>23</v>
      </c>
      <c r="J433" s="4" t="s">
        <v>38</v>
      </c>
      <c r="K433">
        <v>2.79</v>
      </c>
      <c r="L433">
        <v>18</v>
      </c>
      <c r="M433" t="s">
        <v>16</v>
      </c>
      <c r="N433" t="s">
        <v>17</v>
      </c>
      <c r="O433" s="3">
        <v>37938</v>
      </c>
      <c r="P433" s="3">
        <v>43015</v>
      </c>
      <c r="Q433" s="1">
        <v>1.0779931506849314</v>
      </c>
      <c r="R433" s="7">
        <v>13.90958904109589</v>
      </c>
      <c r="S433">
        <v>36</v>
      </c>
      <c r="T433" s="2">
        <v>74.807753424657534</v>
      </c>
      <c r="U433" t="s">
        <v>13</v>
      </c>
    </row>
    <row r="434" spans="1:21" hidden="1" x14ac:dyDescent="0.25">
      <c r="A434" t="s">
        <v>100</v>
      </c>
      <c r="B434">
        <v>35.167161</v>
      </c>
      <c r="C434">
        <v>-99.074258</v>
      </c>
      <c r="D434" t="s">
        <v>252</v>
      </c>
      <c r="E434" t="s">
        <v>240</v>
      </c>
      <c r="F434" t="s">
        <v>11</v>
      </c>
      <c r="G434" t="s">
        <v>222</v>
      </c>
      <c r="H434">
        <v>0</v>
      </c>
      <c r="I434" t="s">
        <v>15</v>
      </c>
      <c r="J434" t="s">
        <v>14</v>
      </c>
      <c r="K434" t="s">
        <v>15</v>
      </c>
      <c r="L434">
        <v>21</v>
      </c>
      <c r="M434" t="s">
        <v>16</v>
      </c>
      <c r="N434" t="s">
        <v>17</v>
      </c>
      <c r="O434" s="3">
        <v>35968</v>
      </c>
      <c r="P434" s="3">
        <v>42990</v>
      </c>
      <c r="Q434" s="1" t="s">
        <v>14</v>
      </c>
      <c r="R434" s="7">
        <v>19.238356164383561</v>
      </c>
      <c r="S434" t="s">
        <v>14</v>
      </c>
      <c r="T434" t="s">
        <v>14</v>
      </c>
      <c r="U434" t="s">
        <v>24</v>
      </c>
    </row>
    <row r="435" spans="1:21" hidden="1" x14ac:dyDescent="0.25">
      <c r="A435" t="s">
        <v>100</v>
      </c>
      <c r="B435">
        <v>35.167161</v>
      </c>
      <c r="C435">
        <v>-99.074258</v>
      </c>
      <c r="D435" t="s">
        <v>252</v>
      </c>
      <c r="E435" t="s">
        <v>240</v>
      </c>
      <c r="F435" t="s">
        <v>11</v>
      </c>
      <c r="G435" t="s">
        <v>224</v>
      </c>
      <c r="H435">
        <v>0</v>
      </c>
      <c r="I435" t="s">
        <v>15</v>
      </c>
      <c r="J435" t="s">
        <v>14</v>
      </c>
      <c r="K435" t="s">
        <v>15</v>
      </c>
      <c r="L435">
        <v>15</v>
      </c>
      <c r="M435" t="s">
        <v>17</v>
      </c>
      <c r="N435" t="s">
        <v>17</v>
      </c>
      <c r="O435" s="3">
        <v>36956</v>
      </c>
      <c r="P435" s="3">
        <v>42990</v>
      </c>
      <c r="Q435" s="1" t="s">
        <v>14</v>
      </c>
      <c r="R435" s="7">
        <v>16.531506849315068</v>
      </c>
      <c r="S435" t="s">
        <v>14</v>
      </c>
      <c r="T435" t="s">
        <v>14</v>
      </c>
      <c r="U435" t="s">
        <v>19</v>
      </c>
    </row>
    <row r="436" spans="1:21" hidden="1" x14ac:dyDescent="0.25">
      <c r="A436" t="s">
        <v>100</v>
      </c>
      <c r="B436">
        <v>35.167161</v>
      </c>
      <c r="C436">
        <v>-99.074258</v>
      </c>
      <c r="D436" t="s">
        <v>252</v>
      </c>
      <c r="E436" t="s">
        <v>240</v>
      </c>
      <c r="F436" t="s">
        <v>11</v>
      </c>
      <c r="G436" t="s">
        <v>225</v>
      </c>
      <c r="H436">
        <v>1</v>
      </c>
      <c r="I436" t="s">
        <v>23</v>
      </c>
      <c r="J436" t="s">
        <v>40</v>
      </c>
      <c r="K436" s="2">
        <v>8.7789999999999999</v>
      </c>
      <c r="L436">
        <v>21</v>
      </c>
      <c r="M436" t="s">
        <v>16</v>
      </c>
      <c r="N436" t="s">
        <v>31</v>
      </c>
      <c r="O436" s="3">
        <v>36956</v>
      </c>
      <c r="P436" s="3">
        <v>43020</v>
      </c>
      <c r="Q436" s="1">
        <v>0.29765644953871956</v>
      </c>
      <c r="R436" s="7">
        <v>16.613698630136987</v>
      </c>
      <c r="S436">
        <v>490</v>
      </c>
      <c r="T436" s="2">
        <v>635.85166027397258</v>
      </c>
      <c r="U436" t="s">
        <v>21</v>
      </c>
    </row>
    <row r="437" spans="1:21" hidden="1" x14ac:dyDescent="0.25">
      <c r="A437" t="s">
        <v>100</v>
      </c>
      <c r="B437">
        <v>35.167161</v>
      </c>
      <c r="C437">
        <v>-99.074258</v>
      </c>
      <c r="D437" t="s">
        <v>252</v>
      </c>
      <c r="E437" t="s">
        <v>240</v>
      </c>
      <c r="F437" t="s">
        <v>11</v>
      </c>
      <c r="G437" t="s">
        <v>223</v>
      </c>
      <c r="H437">
        <v>3</v>
      </c>
      <c r="I437" t="s">
        <v>23</v>
      </c>
      <c r="J437" s="4" t="s">
        <v>22</v>
      </c>
      <c r="K437">
        <v>5.1000000000000004E-3</v>
      </c>
      <c r="L437">
        <v>21</v>
      </c>
      <c r="M437" t="s">
        <v>16</v>
      </c>
      <c r="N437" t="s">
        <v>33</v>
      </c>
      <c r="O437" s="3">
        <v>35968</v>
      </c>
      <c r="P437" s="3">
        <v>43025</v>
      </c>
      <c r="Q437" s="1">
        <v>0.93909197651663401</v>
      </c>
      <c r="R437" s="7">
        <v>19.334246575342465</v>
      </c>
      <c r="S437">
        <v>0.105</v>
      </c>
      <c r="T437" s="2">
        <v>0.20360465753424656</v>
      </c>
      <c r="U437" t="s">
        <v>24</v>
      </c>
    </row>
    <row r="438" spans="1:21" hidden="1" x14ac:dyDescent="0.25">
      <c r="A438" t="s">
        <v>100</v>
      </c>
      <c r="B438">
        <v>35.167161</v>
      </c>
      <c r="C438">
        <v>-99.074258</v>
      </c>
      <c r="D438" t="s">
        <v>252</v>
      </c>
      <c r="E438" t="s">
        <v>240</v>
      </c>
      <c r="F438" t="s">
        <v>11</v>
      </c>
      <c r="G438" t="s">
        <v>226</v>
      </c>
      <c r="H438">
        <v>0</v>
      </c>
      <c r="I438" t="s">
        <v>15</v>
      </c>
      <c r="J438" t="s">
        <v>14</v>
      </c>
      <c r="K438" t="s">
        <v>15</v>
      </c>
      <c r="L438">
        <v>19</v>
      </c>
      <c r="M438" t="s">
        <v>31</v>
      </c>
      <c r="N438" t="s">
        <v>17</v>
      </c>
      <c r="O438" s="3">
        <v>36956</v>
      </c>
      <c r="P438" s="3">
        <v>42990</v>
      </c>
      <c r="Q438" s="1" t="s">
        <v>14</v>
      </c>
      <c r="R438" s="7">
        <v>16.531506849315068</v>
      </c>
      <c r="S438" t="s">
        <v>14</v>
      </c>
      <c r="T438" t="s">
        <v>14</v>
      </c>
      <c r="U438" t="s">
        <v>27</v>
      </c>
    </row>
    <row r="439" spans="1:21" hidden="1" x14ac:dyDescent="0.25">
      <c r="A439" t="s">
        <v>101</v>
      </c>
      <c r="B439">
        <v>35.345342000000002</v>
      </c>
      <c r="C439">
        <v>-94.779706000000004</v>
      </c>
      <c r="D439" t="s">
        <v>279</v>
      </c>
      <c r="E439" t="s">
        <v>240</v>
      </c>
      <c r="F439" t="s">
        <v>11</v>
      </c>
      <c r="G439" t="s">
        <v>221</v>
      </c>
      <c r="H439">
        <v>0</v>
      </c>
      <c r="I439" t="s">
        <v>15</v>
      </c>
      <c r="J439" t="s">
        <v>14</v>
      </c>
      <c r="K439" t="s">
        <v>15</v>
      </c>
      <c r="L439">
        <v>26</v>
      </c>
      <c r="M439" t="s">
        <v>16</v>
      </c>
      <c r="N439" t="s">
        <v>17</v>
      </c>
      <c r="O439" s="3">
        <v>37453</v>
      </c>
      <c r="P439" s="3">
        <v>44452</v>
      </c>
      <c r="Q439" s="1" t="s">
        <v>14</v>
      </c>
      <c r="R439" s="7">
        <v>19.175342465753424</v>
      </c>
      <c r="S439" t="s">
        <v>14</v>
      </c>
      <c r="T439" t="s">
        <v>14</v>
      </c>
      <c r="U439" t="s">
        <v>13</v>
      </c>
    </row>
    <row r="440" spans="1:21" hidden="1" x14ac:dyDescent="0.25">
      <c r="A440" t="s">
        <v>101</v>
      </c>
      <c r="B440">
        <v>35.345342000000002</v>
      </c>
      <c r="C440">
        <v>-94.779706000000004</v>
      </c>
      <c r="D440" t="s">
        <v>279</v>
      </c>
      <c r="E440" t="s">
        <v>240</v>
      </c>
      <c r="F440" t="s">
        <v>11</v>
      </c>
      <c r="G440" t="s">
        <v>222</v>
      </c>
      <c r="H440">
        <v>1</v>
      </c>
      <c r="I440" t="s">
        <v>23</v>
      </c>
      <c r="J440" s="4" t="s">
        <v>40</v>
      </c>
      <c r="K440">
        <v>1.0370000000000001E-2</v>
      </c>
      <c r="L440">
        <v>31</v>
      </c>
      <c r="M440" t="s">
        <v>17</v>
      </c>
      <c r="N440" t="s">
        <v>17</v>
      </c>
      <c r="O440" s="3">
        <v>36447</v>
      </c>
      <c r="P440" s="3">
        <v>44452</v>
      </c>
      <c r="Q440" s="1">
        <v>0.28428715753424649</v>
      </c>
      <c r="R440" s="7">
        <v>21.931506849315067</v>
      </c>
      <c r="S440">
        <v>0.8</v>
      </c>
      <c r="T440" s="2">
        <v>1.0274297260273972</v>
      </c>
      <c r="U440" t="s">
        <v>24</v>
      </c>
    </row>
    <row r="441" spans="1:21" hidden="1" x14ac:dyDescent="0.25">
      <c r="A441" t="s">
        <v>101</v>
      </c>
      <c r="B441">
        <v>35.345342000000002</v>
      </c>
      <c r="C441">
        <v>-94.779706000000004</v>
      </c>
      <c r="D441" t="s">
        <v>279</v>
      </c>
      <c r="E441" t="s">
        <v>240</v>
      </c>
      <c r="F441" t="s">
        <v>11</v>
      </c>
      <c r="G441" t="s">
        <v>224</v>
      </c>
      <c r="H441">
        <v>0</v>
      </c>
      <c r="I441" t="s">
        <v>15</v>
      </c>
      <c r="J441" t="s">
        <v>14</v>
      </c>
      <c r="K441" t="s">
        <v>15</v>
      </c>
      <c r="L441">
        <v>18</v>
      </c>
      <c r="M441" t="s">
        <v>16</v>
      </c>
      <c r="N441" t="s">
        <v>31</v>
      </c>
      <c r="O441" s="3">
        <v>38306</v>
      </c>
      <c r="P441" s="3">
        <v>44452</v>
      </c>
      <c r="Q441" s="1" t="s">
        <v>14</v>
      </c>
      <c r="R441" s="7">
        <v>16.838356164383562</v>
      </c>
      <c r="S441" t="s">
        <v>14</v>
      </c>
      <c r="T441" t="s">
        <v>14</v>
      </c>
      <c r="U441" t="s">
        <v>19</v>
      </c>
    </row>
    <row r="442" spans="1:21" hidden="1" x14ac:dyDescent="0.25">
      <c r="A442" t="s">
        <v>101</v>
      </c>
      <c r="B442">
        <v>35.345342000000002</v>
      </c>
      <c r="C442">
        <v>-94.779706000000004</v>
      </c>
      <c r="D442" t="s">
        <v>279</v>
      </c>
      <c r="E442" t="s">
        <v>240</v>
      </c>
      <c r="F442" t="s">
        <v>11</v>
      </c>
      <c r="G442" t="s">
        <v>225</v>
      </c>
      <c r="H442">
        <v>-1</v>
      </c>
      <c r="I442" t="s">
        <v>29</v>
      </c>
      <c r="J442" t="s">
        <v>28</v>
      </c>
      <c r="K442" s="2">
        <v>-12.93</v>
      </c>
      <c r="L442">
        <v>26</v>
      </c>
      <c r="M442" t="s">
        <v>17</v>
      </c>
      <c r="N442" t="s">
        <v>17</v>
      </c>
      <c r="O442" s="3">
        <v>36437</v>
      </c>
      <c r="P442" s="3">
        <v>44229</v>
      </c>
      <c r="Q442" s="1">
        <v>-0.3680385753424657</v>
      </c>
      <c r="R442" s="7">
        <v>21.347945205479451</v>
      </c>
      <c r="S442">
        <v>750</v>
      </c>
      <c r="T442" s="2">
        <v>473.97106849315071</v>
      </c>
      <c r="U442" t="s">
        <v>21</v>
      </c>
    </row>
    <row r="443" spans="1:21" hidden="1" x14ac:dyDescent="0.25">
      <c r="A443" t="s">
        <v>101</v>
      </c>
      <c r="B443">
        <v>35.345342000000002</v>
      </c>
      <c r="C443">
        <v>-94.779706000000004</v>
      </c>
      <c r="D443" t="s">
        <v>279</v>
      </c>
      <c r="E443" t="s">
        <v>240</v>
      </c>
      <c r="F443" t="s">
        <v>11</v>
      </c>
      <c r="G443" t="s">
        <v>223</v>
      </c>
      <c r="H443">
        <v>0</v>
      </c>
      <c r="I443" t="s">
        <v>15</v>
      </c>
      <c r="J443" t="s">
        <v>14</v>
      </c>
      <c r="K443" t="s">
        <v>15</v>
      </c>
      <c r="L443">
        <v>31</v>
      </c>
      <c r="M443" t="s">
        <v>17</v>
      </c>
      <c r="N443" t="s">
        <v>17</v>
      </c>
      <c r="O443" s="3">
        <v>36437</v>
      </c>
      <c r="P443" s="3">
        <v>44452</v>
      </c>
      <c r="Q443" s="1" t="s">
        <v>14</v>
      </c>
      <c r="R443" s="7">
        <v>21.958904109589042</v>
      </c>
      <c r="S443" t="s">
        <v>14</v>
      </c>
      <c r="T443" t="s">
        <v>14</v>
      </c>
      <c r="U443" t="s">
        <v>24</v>
      </c>
    </row>
    <row r="444" spans="1:21" hidden="1" x14ac:dyDescent="0.25">
      <c r="A444" t="s">
        <v>101</v>
      </c>
      <c r="B444">
        <v>35.345342000000002</v>
      </c>
      <c r="C444">
        <v>-94.779706000000004</v>
      </c>
      <c r="D444" t="s">
        <v>279</v>
      </c>
      <c r="E444" t="s">
        <v>240</v>
      </c>
      <c r="F444" t="s">
        <v>11</v>
      </c>
      <c r="G444" t="s">
        <v>226</v>
      </c>
      <c r="H444">
        <v>0</v>
      </c>
      <c r="I444" t="s">
        <v>15</v>
      </c>
      <c r="J444" t="s">
        <v>14</v>
      </c>
      <c r="K444" t="s">
        <v>15</v>
      </c>
      <c r="L444">
        <v>19</v>
      </c>
      <c r="M444" t="s">
        <v>16</v>
      </c>
      <c r="N444" t="s">
        <v>16</v>
      </c>
      <c r="O444" s="3">
        <v>38306</v>
      </c>
      <c r="P444" s="3">
        <v>44452</v>
      </c>
      <c r="Q444" s="1" t="s">
        <v>14</v>
      </c>
      <c r="R444" s="7">
        <v>16.838356164383562</v>
      </c>
      <c r="S444" t="s">
        <v>14</v>
      </c>
      <c r="T444" t="s">
        <v>14</v>
      </c>
      <c r="U444" t="s">
        <v>27</v>
      </c>
    </row>
    <row r="445" spans="1:21" hidden="1" x14ac:dyDescent="0.25">
      <c r="A445" t="s">
        <v>102</v>
      </c>
      <c r="B445">
        <v>36.029921999999999</v>
      </c>
      <c r="C445">
        <v>-96.152269000000004</v>
      </c>
      <c r="D445" t="s">
        <v>265</v>
      </c>
      <c r="E445" t="s">
        <v>240</v>
      </c>
      <c r="F445" t="s">
        <v>11</v>
      </c>
      <c r="G445" t="s">
        <v>221</v>
      </c>
      <c r="H445">
        <v>3</v>
      </c>
      <c r="I445" t="s">
        <v>23</v>
      </c>
      <c r="J445" s="4" t="s">
        <v>22</v>
      </c>
      <c r="K445">
        <v>0.78910000000000002</v>
      </c>
      <c r="L445">
        <v>22</v>
      </c>
      <c r="M445" t="s">
        <v>17</v>
      </c>
      <c r="N445" t="s">
        <v>17</v>
      </c>
      <c r="O445" s="3">
        <v>37866</v>
      </c>
      <c r="P445" s="3">
        <v>44878</v>
      </c>
      <c r="Q445" s="1">
        <v>15.159367671232879</v>
      </c>
      <c r="R445" s="7">
        <v>19.210958904109589</v>
      </c>
      <c r="S445">
        <v>1</v>
      </c>
      <c r="T445" s="2">
        <v>16.159367671232879</v>
      </c>
      <c r="U445" t="s">
        <v>13</v>
      </c>
    </row>
    <row r="446" spans="1:21" hidden="1" x14ac:dyDescent="0.25">
      <c r="A446" t="s">
        <v>102</v>
      </c>
      <c r="B446">
        <v>36.029921999999999</v>
      </c>
      <c r="C446">
        <v>-96.152269000000004</v>
      </c>
      <c r="D446" t="s">
        <v>265</v>
      </c>
      <c r="E446" t="s">
        <v>240</v>
      </c>
      <c r="F446" t="s">
        <v>11</v>
      </c>
      <c r="G446" t="s">
        <v>222</v>
      </c>
      <c r="H446">
        <v>2</v>
      </c>
      <c r="I446" t="s">
        <v>23</v>
      </c>
      <c r="J446" s="5" t="s">
        <v>38</v>
      </c>
      <c r="K446">
        <v>1.391E-2</v>
      </c>
      <c r="L446">
        <v>26</v>
      </c>
      <c r="M446" t="s">
        <v>16</v>
      </c>
      <c r="N446" t="s">
        <v>17</v>
      </c>
      <c r="O446" s="3">
        <v>37165</v>
      </c>
      <c r="P446" s="3">
        <v>44882</v>
      </c>
      <c r="Q446" s="1">
        <v>0.42013099804305282</v>
      </c>
      <c r="R446" s="7">
        <v>21.142465753424659</v>
      </c>
      <c r="S446">
        <v>0.7</v>
      </c>
      <c r="T446" s="2">
        <v>0.99409169863013691</v>
      </c>
      <c r="U446" t="s">
        <v>24</v>
      </c>
    </row>
    <row r="447" spans="1:21" hidden="1" x14ac:dyDescent="0.25">
      <c r="A447" t="s">
        <v>102</v>
      </c>
      <c r="B447">
        <v>36.029921999999999</v>
      </c>
      <c r="C447">
        <v>-96.152269000000004</v>
      </c>
      <c r="D447" t="s">
        <v>265</v>
      </c>
      <c r="E447" t="s">
        <v>240</v>
      </c>
      <c r="F447" t="s">
        <v>11</v>
      </c>
      <c r="G447" t="s">
        <v>224</v>
      </c>
      <c r="H447">
        <v>0</v>
      </c>
      <c r="I447" t="s">
        <v>15</v>
      </c>
      <c r="J447" t="s">
        <v>14</v>
      </c>
      <c r="K447" t="s">
        <v>15</v>
      </c>
      <c r="L447">
        <v>19</v>
      </c>
      <c r="M447" t="s">
        <v>16</v>
      </c>
      <c r="N447" t="s">
        <v>17</v>
      </c>
      <c r="O447" s="3">
        <v>37866</v>
      </c>
      <c r="P447" s="3">
        <v>44844</v>
      </c>
      <c r="Q447" s="1" t="s">
        <v>14</v>
      </c>
      <c r="R447" s="7">
        <v>19.117808219178084</v>
      </c>
      <c r="S447" t="s">
        <v>14</v>
      </c>
      <c r="T447" t="s">
        <v>14</v>
      </c>
      <c r="U447" t="s">
        <v>19</v>
      </c>
    </row>
    <row r="448" spans="1:21" hidden="1" x14ac:dyDescent="0.25">
      <c r="A448" t="s">
        <v>102</v>
      </c>
      <c r="B448">
        <v>36.029921999999999</v>
      </c>
      <c r="C448">
        <v>-96.152269000000004</v>
      </c>
      <c r="D448" t="s">
        <v>265</v>
      </c>
      <c r="E448" t="s">
        <v>240</v>
      </c>
      <c r="F448" t="s">
        <v>11</v>
      </c>
      <c r="G448" t="s">
        <v>225</v>
      </c>
      <c r="H448">
        <v>3</v>
      </c>
      <c r="I448" t="s">
        <v>23</v>
      </c>
      <c r="J448" t="s">
        <v>22</v>
      </c>
      <c r="K448" s="2">
        <v>3.5369999999999999</v>
      </c>
      <c r="L448">
        <v>21</v>
      </c>
      <c r="M448" t="s">
        <v>16</v>
      </c>
      <c r="N448" t="s">
        <v>17</v>
      </c>
      <c r="O448" s="3">
        <v>37166</v>
      </c>
      <c r="P448" s="3">
        <v>44844</v>
      </c>
      <c r="Q448" s="1">
        <v>0.55113315068493163</v>
      </c>
      <c r="R448" s="7">
        <v>21.035616438356165</v>
      </c>
      <c r="S448">
        <v>135</v>
      </c>
      <c r="T448" s="2">
        <v>209.40297534246577</v>
      </c>
      <c r="U448" t="s">
        <v>21</v>
      </c>
    </row>
    <row r="449" spans="1:21" hidden="1" x14ac:dyDescent="0.25">
      <c r="A449" t="s">
        <v>102</v>
      </c>
      <c r="B449">
        <v>36.029921999999999</v>
      </c>
      <c r="C449">
        <v>-96.152269000000004</v>
      </c>
      <c r="D449" t="s">
        <v>265</v>
      </c>
      <c r="E449" t="s">
        <v>240</v>
      </c>
      <c r="F449" t="s">
        <v>11</v>
      </c>
      <c r="G449" t="s">
        <v>223</v>
      </c>
      <c r="H449">
        <v>0</v>
      </c>
      <c r="I449" t="s">
        <v>15</v>
      </c>
      <c r="J449" t="s">
        <v>14</v>
      </c>
      <c r="K449" t="s">
        <v>15</v>
      </c>
      <c r="L449">
        <v>26</v>
      </c>
      <c r="M449" t="s">
        <v>16</v>
      </c>
      <c r="N449" t="s">
        <v>16</v>
      </c>
      <c r="O449" s="3">
        <v>37165</v>
      </c>
      <c r="P449" s="3">
        <v>44844</v>
      </c>
      <c r="Q449" s="1" t="s">
        <v>14</v>
      </c>
      <c r="R449" s="7">
        <v>21.038356164383561</v>
      </c>
      <c r="S449" t="s">
        <v>14</v>
      </c>
      <c r="T449" t="s">
        <v>14</v>
      </c>
      <c r="U449" t="s">
        <v>24</v>
      </c>
    </row>
    <row r="450" spans="1:21" hidden="1" x14ac:dyDescent="0.25">
      <c r="A450" t="s">
        <v>102</v>
      </c>
      <c r="B450">
        <v>36.029921999999999</v>
      </c>
      <c r="C450">
        <v>-96.152269000000004</v>
      </c>
      <c r="D450" t="s">
        <v>265</v>
      </c>
      <c r="E450" t="s">
        <v>240</v>
      </c>
      <c r="F450" t="s">
        <v>11</v>
      </c>
      <c r="G450" t="s">
        <v>226</v>
      </c>
      <c r="H450">
        <v>-1</v>
      </c>
      <c r="I450" t="s">
        <v>29</v>
      </c>
      <c r="J450" s="5" t="s">
        <v>28</v>
      </c>
      <c r="K450">
        <v>-0.7</v>
      </c>
      <c r="L450">
        <v>19</v>
      </c>
      <c r="M450" t="s">
        <v>16</v>
      </c>
      <c r="N450" t="s">
        <v>17</v>
      </c>
      <c r="O450" s="3">
        <v>37866</v>
      </c>
      <c r="P450" s="3">
        <v>44844</v>
      </c>
      <c r="Q450" s="1">
        <v>-0.49564687975646882</v>
      </c>
      <c r="R450" s="7">
        <v>19.117808219178084</v>
      </c>
      <c r="S450">
        <v>27</v>
      </c>
      <c r="T450" s="2">
        <v>13.617534246575342</v>
      </c>
      <c r="U450" t="s">
        <v>27</v>
      </c>
    </row>
    <row r="451" spans="1:21" hidden="1" x14ac:dyDescent="0.25">
      <c r="A451" t="s">
        <v>103</v>
      </c>
      <c r="B451">
        <v>34.632086000000001</v>
      </c>
      <c r="C451">
        <v>-95.350847000000002</v>
      </c>
      <c r="D451" t="s">
        <v>280</v>
      </c>
      <c r="E451" t="s">
        <v>240</v>
      </c>
      <c r="F451" t="s">
        <v>11</v>
      </c>
      <c r="G451" t="s">
        <v>221</v>
      </c>
      <c r="H451">
        <v>0</v>
      </c>
      <c r="I451" t="s">
        <v>15</v>
      </c>
      <c r="J451" t="s">
        <v>14</v>
      </c>
      <c r="K451" t="s">
        <v>15</v>
      </c>
      <c r="L451">
        <v>34</v>
      </c>
      <c r="M451" t="s">
        <v>16</v>
      </c>
      <c r="N451" t="s">
        <v>16</v>
      </c>
      <c r="O451" s="3">
        <v>37578</v>
      </c>
      <c r="P451" s="3">
        <v>44872</v>
      </c>
      <c r="Q451" s="1" t="s">
        <v>14</v>
      </c>
      <c r="R451" s="7">
        <v>19.983561643835618</v>
      </c>
      <c r="S451" t="s">
        <v>14</v>
      </c>
      <c r="T451" t="s">
        <v>14</v>
      </c>
      <c r="U451" t="s">
        <v>13</v>
      </c>
    </row>
    <row r="452" spans="1:21" hidden="1" x14ac:dyDescent="0.25">
      <c r="A452" t="s">
        <v>103</v>
      </c>
      <c r="B452">
        <v>34.632086000000001</v>
      </c>
      <c r="C452">
        <v>-95.350847000000002</v>
      </c>
      <c r="D452" t="s">
        <v>280</v>
      </c>
      <c r="E452" t="s">
        <v>240</v>
      </c>
      <c r="F452" t="s">
        <v>11</v>
      </c>
      <c r="G452" t="s">
        <v>222</v>
      </c>
      <c r="H452">
        <v>3</v>
      </c>
      <c r="I452" t="s">
        <v>23</v>
      </c>
      <c r="J452" s="4" t="s">
        <v>22</v>
      </c>
      <c r="K452">
        <v>9.2610000000000001E-3</v>
      </c>
      <c r="L452">
        <v>37</v>
      </c>
      <c r="M452" t="s">
        <v>16</v>
      </c>
      <c r="N452" t="s">
        <v>17</v>
      </c>
      <c r="O452" s="3">
        <v>36472</v>
      </c>
      <c r="P452" s="3">
        <v>44872</v>
      </c>
      <c r="Q452" s="1">
        <v>0.6089424657534247</v>
      </c>
      <c r="R452" s="7">
        <v>23.013698630136986</v>
      </c>
      <c r="S452">
        <v>0.35</v>
      </c>
      <c r="T452" s="2">
        <v>0.56312986301369861</v>
      </c>
      <c r="U452" t="s">
        <v>24</v>
      </c>
    </row>
    <row r="453" spans="1:21" hidden="1" x14ac:dyDescent="0.25">
      <c r="A453" t="s">
        <v>103</v>
      </c>
      <c r="B453">
        <v>34.632086000000001</v>
      </c>
      <c r="C453">
        <v>-95.350847000000002</v>
      </c>
      <c r="D453" t="s">
        <v>280</v>
      </c>
      <c r="E453" t="s">
        <v>240</v>
      </c>
      <c r="F453" t="s">
        <v>11</v>
      </c>
      <c r="G453" t="s">
        <v>224</v>
      </c>
      <c r="H453">
        <v>-3</v>
      </c>
      <c r="I453" t="s">
        <v>29</v>
      </c>
      <c r="J453" s="4" t="s">
        <v>32</v>
      </c>
      <c r="K453">
        <v>-2.2189999999999999</v>
      </c>
      <c r="L453">
        <v>27</v>
      </c>
      <c r="M453" t="s">
        <v>16</v>
      </c>
      <c r="N453" t="s">
        <v>17</v>
      </c>
      <c r="O453" s="3">
        <v>38271</v>
      </c>
      <c r="P453" s="3">
        <v>44872</v>
      </c>
      <c r="Q453" s="1">
        <v>-0.53507284018264845</v>
      </c>
      <c r="R453" s="7">
        <v>18.084931506849315</v>
      </c>
      <c r="S453">
        <v>75</v>
      </c>
      <c r="T453" s="2">
        <v>34.86953698630137</v>
      </c>
      <c r="U453" t="s">
        <v>19</v>
      </c>
    </row>
    <row r="454" spans="1:21" hidden="1" x14ac:dyDescent="0.25">
      <c r="A454" t="s">
        <v>103</v>
      </c>
      <c r="B454">
        <v>34.632086000000001</v>
      </c>
      <c r="C454">
        <v>-95.350847000000002</v>
      </c>
      <c r="D454" t="s">
        <v>280</v>
      </c>
      <c r="E454" t="s">
        <v>240</v>
      </c>
      <c r="F454" t="s">
        <v>11</v>
      </c>
      <c r="G454" t="s">
        <v>225</v>
      </c>
      <c r="H454">
        <v>3</v>
      </c>
      <c r="I454" t="s">
        <v>23</v>
      </c>
      <c r="J454" t="s">
        <v>22</v>
      </c>
      <c r="K454" s="2">
        <v>0.5444</v>
      </c>
      <c r="L454">
        <v>33</v>
      </c>
      <c r="M454" t="s">
        <v>16</v>
      </c>
      <c r="N454" t="s">
        <v>16</v>
      </c>
      <c r="O454" s="3">
        <v>36471</v>
      </c>
      <c r="P454" s="3">
        <v>44914</v>
      </c>
      <c r="Q454" s="1">
        <v>0.29285563555272381</v>
      </c>
      <c r="R454" s="7">
        <v>23.13150684931507</v>
      </c>
      <c r="S454">
        <v>43</v>
      </c>
      <c r="T454" s="2">
        <v>55.592792328767125</v>
      </c>
      <c r="U454" t="s">
        <v>21</v>
      </c>
    </row>
    <row r="455" spans="1:21" hidden="1" x14ac:dyDescent="0.25">
      <c r="A455" t="s">
        <v>103</v>
      </c>
      <c r="B455">
        <v>34.632086000000001</v>
      </c>
      <c r="C455">
        <v>-95.350847000000002</v>
      </c>
      <c r="D455" t="s">
        <v>280</v>
      </c>
      <c r="E455" t="s">
        <v>240</v>
      </c>
      <c r="F455" t="s">
        <v>11</v>
      </c>
      <c r="G455" t="s">
        <v>223</v>
      </c>
      <c r="H455">
        <v>3</v>
      </c>
      <c r="I455" t="s">
        <v>23</v>
      </c>
      <c r="J455" s="4" t="s">
        <v>22</v>
      </c>
      <c r="K455">
        <v>1.0859999999999999E-3</v>
      </c>
      <c r="L455">
        <v>37</v>
      </c>
      <c r="M455" t="s">
        <v>31</v>
      </c>
      <c r="N455" t="s">
        <v>17</v>
      </c>
      <c r="O455" s="3">
        <v>36472</v>
      </c>
      <c r="P455" s="3">
        <v>44872</v>
      </c>
      <c r="Q455" s="1">
        <v>1.1360398505603986</v>
      </c>
      <c r="R455" s="7">
        <v>23.013698630136986</v>
      </c>
      <c r="S455">
        <v>2.1999999999999999E-2</v>
      </c>
      <c r="T455" s="2">
        <v>4.6992876712328768E-2</v>
      </c>
      <c r="U455" t="s">
        <v>24</v>
      </c>
    </row>
    <row r="456" spans="1:21" hidden="1" x14ac:dyDescent="0.25">
      <c r="A456" t="s">
        <v>103</v>
      </c>
      <c r="B456">
        <v>34.632086000000001</v>
      </c>
      <c r="C456">
        <v>-95.350847000000002</v>
      </c>
      <c r="D456" t="s">
        <v>280</v>
      </c>
      <c r="E456" t="s">
        <v>240</v>
      </c>
      <c r="F456" t="s">
        <v>11</v>
      </c>
      <c r="G456" t="s">
        <v>226</v>
      </c>
      <c r="H456">
        <v>3</v>
      </c>
      <c r="I456" t="s">
        <v>23</v>
      </c>
      <c r="J456" s="4" t="s">
        <v>22</v>
      </c>
      <c r="K456">
        <v>0.82279999999999998</v>
      </c>
      <c r="L456">
        <v>27</v>
      </c>
      <c r="M456" t="s">
        <v>17</v>
      </c>
      <c r="N456" t="s">
        <v>17</v>
      </c>
      <c r="O456" s="3">
        <v>38271</v>
      </c>
      <c r="P456" s="3">
        <v>44872</v>
      </c>
      <c r="Q456" s="1">
        <v>1.0262263202645252</v>
      </c>
      <c r="R456" s="7">
        <v>18.084931506849315</v>
      </c>
      <c r="S456">
        <v>14.5</v>
      </c>
      <c r="T456" s="2">
        <v>29.380281643835616</v>
      </c>
      <c r="U456" t="s">
        <v>27</v>
      </c>
    </row>
    <row r="457" spans="1:21" hidden="1" x14ac:dyDescent="0.25">
      <c r="A457" t="s">
        <v>104</v>
      </c>
      <c r="B457">
        <v>35.347313999999997</v>
      </c>
      <c r="C457">
        <v>-97.064993999999999</v>
      </c>
      <c r="D457" t="s">
        <v>281</v>
      </c>
      <c r="E457" t="s">
        <v>240</v>
      </c>
      <c r="F457" t="s">
        <v>11</v>
      </c>
      <c r="G457" t="s">
        <v>221</v>
      </c>
      <c r="H457">
        <v>3</v>
      </c>
      <c r="I457" t="s">
        <v>23</v>
      </c>
      <c r="J457" s="4" t="s">
        <v>22</v>
      </c>
      <c r="K457">
        <v>0.254</v>
      </c>
      <c r="L457">
        <v>31</v>
      </c>
      <c r="M457" t="s">
        <v>16</v>
      </c>
      <c r="N457" t="s">
        <v>16</v>
      </c>
      <c r="O457" s="3">
        <v>37950</v>
      </c>
      <c r="P457" s="3">
        <v>44908</v>
      </c>
      <c r="Q457" s="1">
        <v>4.0350045662100458</v>
      </c>
      <c r="R457" s="7">
        <v>19.063013698630137</v>
      </c>
      <c r="S457">
        <v>1.2</v>
      </c>
      <c r="T457" s="2">
        <v>6.0420054794520546</v>
      </c>
      <c r="U457" t="s">
        <v>13</v>
      </c>
    </row>
    <row r="458" spans="1:21" hidden="1" x14ac:dyDescent="0.25">
      <c r="A458" t="s">
        <v>104</v>
      </c>
      <c r="B458">
        <v>35.347313999999997</v>
      </c>
      <c r="C458">
        <v>-97.064993999999999</v>
      </c>
      <c r="D458" t="s">
        <v>281</v>
      </c>
      <c r="E458" t="s">
        <v>240</v>
      </c>
      <c r="F458" t="s">
        <v>11</v>
      </c>
      <c r="G458" t="s">
        <v>222</v>
      </c>
      <c r="H458">
        <v>2</v>
      </c>
      <c r="I458" t="s">
        <v>23</v>
      </c>
      <c r="J458" s="5" t="s">
        <v>38</v>
      </c>
      <c r="K458">
        <v>5.5430000000000002E-3</v>
      </c>
      <c r="L458">
        <v>39</v>
      </c>
      <c r="M458" t="s">
        <v>16</v>
      </c>
      <c r="N458" t="s">
        <v>17</v>
      </c>
      <c r="O458" s="3">
        <v>35928</v>
      </c>
      <c r="P458" s="3">
        <v>44874</v>
      </c>
      <c r="Q458" s="1">
        <v>0.3019036712328767</v>
      </c>
      <c r="R458" s="7">
        <v>24.509589041095889</v>
      </c>
      <c r="S458">
        <v>0.45</v>
      </c>
      <c r="T458" s="2">
        <v>0.58585665205479454</v>
      </c>
      <c r="U458" t="s">
        <v>24</v>
      </c>
    </row>
    <row r="459" spans="1:21" hidden="1" x14ac:dyDescent="0.25">
      <c r="A459" t="s">
        <v>104</v>
      </c>
      <c r="B459">
        <v>35.347313999999997</v>
      </c>
      <c r="C459">
        <v>-97.064993999999999</v>
      </c>
      <c r="D459" t="s">
        <v>281</v>
      </c>
      <c r="E459" t="s">
        <v>240</v>
      </c>
      <c r="F459" t="s">
        <v>11</v>
      </c>
      <c r="G459" t="s">
        <v>224</v>
      </c>
      <c r="H459">
        <v>0</v>
      </c>
      <c r="I459" t="s">
        <v>15</v>
      </c>
      <c r="J459" t="s">
        <v>14</v>
      </c>
      <c r="K459" t="s">
        <v>15</v>
      </c>
      <c r="L459">
        <v>22</v>
      </c>
      <c r="M459" t="s">
        <v>16</v>
      </c>
      <c r="N459" t="s">
        <v>17</v>
      </c>
      <c r="O459" s="3">
        <v>37950</v>
      </c>
      <c r="P459" s="3">
        <v>44874</v>
      </c>
      <c r="Q459" s="1" t="s">
        <v>14</v>
      </c>
      <c r="R459" s="7">
        <v>18.969863013698632</v>
      </c>
      <c r="S459" t="s">
        <v>14</v>
      </c>
      <c r="T459" t="s">
        <v>14</v>
      </c>
      <c r="U459" t="s">
        <v>19</v>
      </c>
    </row>
    <row r="460" spans="1:21" hidden="1" x14ac:dyDescent="0.25">
      <c r="A460" t="s">
        <v>104</v>
      </c>
      <c r="B460">
        <v>35.347313999999997</v>
      </c>
      <c r="C460">
        <v>-97.064993999999999</v>
      </c>
      <c r="D460" t="s">
        <v>281</v>
      </c>
      <c r="E460" t="s">
        <v>240</v>
      </c>
      <c r="F460" t="s">
        <v>11</v>
      </c>
      <c r="G460" t="s">
        <v>225</v>
      </c>
      <c r="H460">
        <v>3</v>
      </c>
      <c r="I460" t="s">
        <v>23</v>
      </c>
      <c r="J460" t="s">
        <v>22</v>
      </c>
      <c r="K460" s="2">
        <v>3.2519999999999998</v>
      </c>
      <c r="L460">
        <v>34</v>
      </c>
      <c r="M460" t="s">
        <v>16</v>
      </c>
      <c r="N460" t="s">
        <v>16</v>
      </c>
      <c r="O460" s="3">
        <v>35928</v>
      </c>
      <c r="P460" s="3">
        <v>44918</v>
      </c>
      <c r="Q460" s="1">
        <v>0.42156423936553705</v>
      </c>
      <c r="R460" s="7">
        <v>24.63013698630137</v>
      </c>
      <c r="S460">
        <v>190</v>
      </c>
      <c r="T460" s="2">
        <v>270.09720547945204</v>
      </c>
      <c r="U460" t="s">
        <v>21</v>
      </c>
    </row>
    <row r="461" spans="1:21" hidden="1" x14ac:dyDescent="0.25">
      <c r="A461" t="s">
        <v>104</v>
      </c>
      <c r="B461">
        <v>35.347313999999997</v>
      </c>
      <c r="C461">
        <v>-97.064993999999999</v>
      </c>
      <c r="D461" t="s">
        <v>281</v>
      </c>
      <c r="E461" t="s">
        <v>240</v>
      </c>
      <c r="F461" t="s">
        <v>11</v>
      </c>
      <c r="G461" t="s">
        <v>223</v>
      </c>
      <c r="H461">
        <v>0</v>
      </c>
      <c r="I461" t="s">
        <v>15</v>
      </c>
      <c r="J461" t="s">
        <v>14</v>
      </c>
      <c r="K461" t="s">
        <v>15</v>
      </c>
      <c r="L461">
        <v>32</v>
      </c>
      <c r="M461" t="s">
        <v>16</v>
      </c>
      <c r="N461" t="s">
        <v>31</v>
      </c>
      <c r="O461" s="3">
        <v>35928</v>
      </c>
      <c r="P461" s="3">
        <v>44874</v>
      </c>
      <c r="Q461" s="1" t="s">
        <v>14</v>
      </c>
      <c r="R461" s="7">
        <v>24.509589041095889</v>
      </c>
      <c r="S461" t="s">
        <v>14</v>
      </c>
      <c r="T461" t="s">
        <v>14</v>
      </c>
      <c r="U461" t="s">
        <v>24</v>
      </c>
    </row>
    <row r="462" spans="1:21" hidden="1" x14ac:dyDescent="0.25">
      <c r="A462" t="s">
        <v>104</v>
      </c>
      <c r="B462">
        <v>35.347313999999997</v>
      </c>
      <c r="C462">
        <v>-97.064993999999999</v>
      </c>
      <c r="D462" t="s">
        <v>281</v>
      </c>
      <c r="E462" t="s">
        <v>240</v>
      </c>
      <c r="F462" t="s">
        <v>11</v>
      </c>
      <c r="G462" t="s">
        <v>226</v>
      </c>
      <c r="H462">
        <v>-3</v>
      </c>
      <c r="I462" t="s">
        <v>29</v>
      </c>
      <c r="J462" s="4" t="s">
        <v>32</v>
      </c>
      <c r="K462">
        <v>-0.36270000000000002</v>
      </c>
      <c r="L462">
        <v>30</v>
      </c>
      <c r="M462" t="s">
        <v>16</v>
      </c>
      <c r="N462" t="s">
        <v>17</v>
      </c>
      <c r="O462" s="3">
        <v>37950</v>
      </c>
      <c r="P462" s="3">
        <v>44874</v>
      </c>
      <c r="Q462" s="1">
        <v>-0.55042954520547949</v>
      </c>
      <c r="R462" s="7">
        <v>18.969863013698632</v>
      </c>
      <c r="S462">
        <v>12.5</v>
      </c>
      <c r="T462" s="2">
        <v>5.6196306849315061</v>
      </c>
      <c r="U462" t="s">
        <v>27</v>
      </c>
    </row>
    <row r="463" spans="1:21" hidden="1" x14ac:dyDescent="0.25">
      <c r="A463" t="s">
        <v>105</v>
      </c>
      <c r="B463">
        <v>35.356296999999998</v>
      </c>
      <c r="C463">
        <v>-97.068978000000001</v>
      </c>
      <c r="D463" t="s">
        <v>281</v>
      </c>
      <c r="E463" t="s">
        <v>240</v>
      </c>
      <c r="F463" t="s">
        <v>11</v>
      </c>
      <c r="G463" t="s">
        <v>221</v>
      </c>
      <c r="H463">
        <v>3</v>
      </c>
      <c r="I463" t="s">
        <v>23</v>
      </c>
      <c r="J463" s="4" t="s">
        <v>22</v>
      </c>
      <c r="K463">
        <v>0.42949999999999999</v>
      </c>
      <c r="L463">
        <v>33</v>
      </c>
      <c r="M463" t="s">
        <v>16</v>
      </c>
      <c r="N463" t="s">
        <v>17</v>
      </c>
      <c r="O463" s="3">
        <v>37950</v>
      </c>
      <c r="P463" s="3">
        <v>44908</v>
      </c>
      <c r="Q463" s="1">
        <v>2.729188127853881</v>
      </c>
      <c r="R463" s="7">
        <v>19.063013698630137</v>
      </c>
      <c r="S463">
        <v>3</v>
      </c>
      <c r="T463" s="2">
        <v>11.187564383561643</v>
      </c>
      <c r="U463" t="s">
        <v>13</v>
      </c>
    </row>
    <row r="464" spans="1:21" hidden="1" x14ac:dyDescent="0.25">
      <c r="A464" t="s">
        <v>105</v>
      </c>
      <c r="B464">
        <v>35.356296999999998</v>
      </c>
      <c r="C464">
        <v>-97.068978000000001</v>
      </c>
      <c r="D464" t="s">
        <v>281</v>
      </c>
      <c r="E464" t="s">
        <v>240</v>
      </c>
      <c r="F464" t="s">
        <v>11</v>
      </c>
      <c r="G464" t="s">
        <v>222</v>
      </c>
      <c r="H464">
        <v>3</v>
      </c>
      <c r="I464" t="s">
        <v>23</v>
      </c>
      <c r="J464" s="4" t="s">
        <v>22</v>
      </c>
      <c r="K464">
        <v>1.3690000000000001E-2</v>
      </c>
      <c r="L464">
        <v>41</v>
      </c>
      <c r="M464" t="s">
        <v>16</v>
      </c>
      <c r="N464" t="s">
        <v>33</v>
      </c>
      <c r="O464" s="3">
        <v>35928</v>
      </c>
      <c r="P464" s="3">
        <v>44874</v>
      </c>
      <c r="Q464" s="1">
        <v>0.67107254794520554</v>
      </c>
      <c r="R464" s="7">
        <v>24.509589041095889</v>
      </c>
      <c r="S464">
        <v>0.5</v>
      </c>
      <c r="T464" s="2">
        <v>0.83553627397260277</v>
      </c>
      <c r="U464" t="s">
        <v>24</v>
      </c>
    </row>
    <row r="465" spans="1:21" hidden="1" x14ac:dyDescent="0.25">
      <c r="A465" t="s">
        <v>105</v>
      </c>
      <c r="B465">
        <v>35.356296999999998</v>
      </c>
      <c r="C465">
        <v>-97.068978000000001</v>
      </c>
      <c r="D465" t="s">
        <v>281</v>
      </c>
      <c r="E465" t="s">
        <v>240</v>
      </c>
      <c r="F465" t="s">
        <v>11</v>
      </c>
      <c r="G465" t="s">
        <v>224</v>
      </c>
      <c r="H465">
        <v>2</v>
      </c>
      <c r="I465" t="s">
        <v>23</v>
      </c>
      <c r="J465" s="5" t="s">
        <v>38</v>
      </c>
      <c r="K465">
        <v>1.38</v>
      </c>
      <c r="L465">
        <v>27</v>
      </c>
      <c r="M465" t="s">
        <v>17</v>
      </c>
      <c r="N465" t="s">
        <v>17</v>
      </c>
      <c r="O465" s="3">
        <v>38042</v>
      </c>
      <c r="P465" s="3">
        <v>44874</v>
      </c>
      <c r="Q465" s="1">
        <v>0.45316798846431139</v>
      </c>
      <c r="R465" s="7">
        <v>18.717808219178082</v>
      </c>
      <c r="S465">
        <v>57</v>
      </c>
      <c r="T465" s="2">
        <v>82.83057534246575</v>
      </c>
      <c r="U465" t="s">
        <v>19</v>
      </c>
    </row>
    <row r="466" spans="1:21" hidden="1" x14ac:dyDescent="0.25">
      <c r="A466" t="s">
        <v>105</v>
      </c>
      <c r="B466">
        <v>35.356296999999998</v>
      </c>
      <c r="C466">
        <v>-97.068978000000001</v>
      </c>
      <c r="D466" t="s">
        <v>281</v>
      </c>
      <c r="E466" t="s">
        <v>240</v>
      </c>
      <c r="F466" t="s">
        <v>11</v>
      </c>
      <c r="G466" t="s">
        <v>225</v>
      </c>
      <c r="H466">
        <v>3</v>
      </c>
      <c r="I466" t="s">
        <v>23</v>
      </c>
      <c r="J466" t="s">
        <v>22</v>
      </c>
      <c r="K466" s="2">
        <v>2.89</v>
      </c>
      <c r="L466">
        <v>39</v>
      </c>
      <c r="M466" t="s">
        <v>16</v>
      </c>
      <c r="N466" t="s">
        <v>16</v>
      </c>
      <c r="O466" s="3">
        <v>35928</v>
      </c>
      <c r="P466" s="3">
        <v>44918</v>
      </c>
      <c r="Q466" s="1">
        <v>0.39545053272450542</v>
      </c>
      <c r="R466" s="7">
        <v>24.63013698630137</v>
      </c>
      <c r="S466">
        <v>180</v>
      </c>
      <c r="T466" s="2">
        <v>251.18109589041097</v>
      </c>
      <c r="U466" t="s">
        <v>21</v>
      </c>
    </row>
    <row r="467" spans="1:21" hidden="1" x14ac:dyDescent="0.25">
      <c r="A467" t="s">
        <v>105</v>
      </c>
      <c r="B467">
        <v>35.356296999999998</v>
      </c>
      <c r="C467">
        <v>-97.068978000000001</v>
      </c>
      <c r="D467" t="s">
        <v>281</v>
      </c>
      <c r="E467" t="s">
        <v>240</v>
      </c>
      <c r="F467" t="s">
        <v>11</v>
      </c>
      <c r="G467" t="s">
        <v>223</v>
      </c>
      <c r="H467">
        <v>0</v>
      </c>
      <c r="I467" t="s">
        <v>15</v>
      </c>
      <c r="J467" t="s">
        <v>14</v>
      </c>
      <c r="K467" t="s">
        <v>15</v>
      </c>
      <c r="L467">
        <v>38</v>
      </c>
      <c r="M467" t="s">
        <v>16</v>
      </c>
      <c r="N467" t="s">
        <v>17</v>
      </c>
      <c r="O467" s="3">
        <v>35928</v>
      </c>
      <c r="P467" s="3">
        <v>44874</v>
      </c>
      <c r="Q467" s="1" t="s">
        <v>14</v>
      </c>
      <c r="R467" s="7">
        <v>24.509589041095889</v>
      </c>
      <c r="S467" t="s">
        <v>14</v>
      </c>
      <c r="T467" t="s">
        <v>14</v>
      </c>
      <c r="U467" t="s">
        <v>24</v>
      </c>
    </row>
    <row r="468" spans="1:21" hidden="1" x14ac:dyDescent="0.25">
      <c r="A468" t="s">
        <v>105</v>
      </c>
      <c r="B468">
        <v>35.356296999999998</v>
      </c>
      <c r="C468">
        <v>-97.068978000000001</v>
      </c>
      <c r="D468" t="s">
        <v>281</v>
      </c>
      <c r="E468" t="s">
        <v>240</v>
      </c>
      <c r="F468" t="s">
        <v>11</v>
      </c>
      <c r="G468" t="s">
        <v>226</v>
      </c>
      <c r="H468">
        <v>-3</v>
      </c>
      <c r="I468" t="s">
        <v>29</v>
      </c>
      <c r="J468" s="4" t="s">
        <v>32</v>
      </c>
      <c r="K468">
        <v>-0.68259999999999998</v>
      </c>
      <c r="L468">
        <v>29</v>
      </c>
      <c r="M468" t="s">
        <v>17</v>
      </c>
      <c r="N468" t="s">
        <v>17</v>
      </c>
      <c r="O468" s="3">
        <v>37950</v>
      </c>
      <c r="P468" s="3">
        <v>44874</v>
      </c>
      <c r="Q468" s="1">
        <v>-0.86325523287671235</v>
      </c>
      <c r="R468" s="7">
        <v>18.969863013698632</v>
      </c>
      <c r="S468">
        <v>15</v>
      </c>
      <c r="T468" s="2">
        <v>2.0511715068493146</v>
      </c>
      <c r="U468" t="s">
        <v>27</v>
      </c>
    </row>
    <row r="469" spans="1:21" hidden="1" x14ac:dyDescent="0.25">
      <c r="A469" t="s">
        <v>106</v>
      </c>
      <c r="B469">
        <v>36.181002999999997</v>
      </c>
      <c r="C469">
        <v>-96.181057999999993</v>
      </c>
      <c r="D469" t="s">
        <v>244</v>
      </c>
      <c r="E469" t="s">
        <v>240</v>
      </c>
      <c r="F469" t="s">
        <v>11</v>
      </c>
      <c r="G469" t="s">
        <v>221</v>
      </c>
      <c r="H469">
        <v>3</v>
      </c>
      <c r="I469" t="s">
        <v>23</v>
      </c>
      <c r="J469" s="4" t="s">
        <v>22</v>
      </c>
      <c r="K469">
        <v>0.3609</v>
      </c>
      <c r="L469">
        <v>19</v>
      </c>
      <c r="M469" t="s">
        <v>33</v>
      </c>
      <c r="N469" t="s">
        <v>17</v>
      </c>
      <c r="O469" s="3">
        <v>37866</v>
      </c>
      <c r="P469" s="3">
        <v>43407</v>
      </c>
      <c r="Q469" s="1">
        <v>0.60875095890410968</v>
      </c>
      <c r="R469" s="7">
        <v>15.180821917808219</v>
      </c>
      <c r="S469">
        <v>9</v>
      </c>
      <c r="T469" s="2">
        <v>14.478758630136987</v>
      </c>
      <c r="U469" t="s">
        <v>13</v>
      </c>
    </row>
    <row r="470" spans="1:21" hidden="1" x14ac:dyDescent="0.25">
      <c r="A470" t="s">
        <v>106</v>
      </c>
      <c r="B470">
        <v>36.181002999999997</v>
      </c>
      <c r="C470">
        <v>-96.181057999999993</v>
      </c>
      <c r="D470" t="s">
        <v>244</v>
      </c>
      <c r="E470" t="s">
        <v>240</v>
      </c>
      <c r="F470" t="s">
        <v>11</v>
      </c>
      <c r="G470" t="s">
        <v>222</v>
      </c>
      <c r="H470">
        <v>2</v>
      </c>
      <c r="I470" t="s">
        <v>23</v>
      </c>
      <c r="J470" s="5" t="s">
        <v>38</v>
      </c>
      <c r="K470">
        <v>1.077E-2</v>
      </c>
      <c r="L470">
        <v>22</v>
      </c>
      <c r="M470" t="s">
        <v>33</v>
      </c>
      <c r="N470" t="s">
        <v>33</v>
      </c>
      <c r="O470" s="3">
        <v>37165</v>
      </c>
      <c r="P470" s="3">
        <v>43339</v>
      </c>
      <c r="Q470" s="1">
        <v>0.24290038356164376</v>
      </c>
      <c r="R470" s="7">
        <v>16.915068493150685</v>
      </c>
      <c r="S470">
        <v>0.75</v>
      </c>
      <c r="T470" s="2">
        <v>0.93217528767123281</v>
      </c>
      <c r="U470" t="s">
        <v>24</v>
      </c>
    </row>
    <row r="471" spans="1:21" hidden="1" x14ac:dyDescent="0.25">
      <c r="A471" t="s">
        <v>106</v>
      </c>
      <c r="B471">
        <v>36.181002999999997</v>
      </c>
      <c r="C471">
        <v>-96.181057999999993</v>
      </c>
      <c r="D471" t="s">
        <v>244</v>
      </c>
      <c r="E471" t="s">
        <v>240</v>
      </c>
      <c r="F471" t="s">
        <v>11</v>
      </c>
      <c r="G471" t="s">
        <v>224</v>
      </c>
      <c r="H471">
        <v>0</v>
      </c>
      <c r="I471" t="s">
        <v>15</v>
      </c>
      <c r="J471" t="s">
        <v>14</v>
      </c>
      <c r="K471" t="s">
        <v>15</v>
      </c>
      <c r="L471">
        <v>16</v>
      </c>
      <c r="M471" t="s">
        <v>16</v>
      </c>
      <c r="N471" t="s">
        <v>17</v>
      </c>
      <c r="O471" s="3">
        <v>37866</v>
      </c>
      <c r="P471" s="3">
        <v>46992</v>
      </c>
      <c r="Q471" s="1" t="s">
        <v>14</v>
      </c>
      <c r="R471" s="7">
        <v>25.002739726027396</v>
      </c>
      <c r="S471" t="s">
        <v>14</v>
      </c>
      <c r="T471" t="s">
        <v>14</v>
      </c>
      <c r="U471" t="s">
        <v>19</v>
      </c>
    </row>
    <row r="472" spans="1:21" hidden="1" x14ac:dyDescent="0.25">
      <c r="A472" t="s">
        <v>106</v>
      </c>
      <c r="B472">
        <v>36.181002999999997</v>
      </c>
      <c r="C472">
        <v>-96.181057999999993</v>
      </c>
      <c r="D472" t="s">
        <v>244</v>
      </c>
      <c r="E472" t="s">
        <v>240</v>
      </c>
      <c r="F472" t="s">
        <v>11</v>
      </c>
      <c r="G472" t="s">
        <v>225</v>
      </c>
      <c r="H472">
        <v>3</v>
      </c>
      <c r="I472" t="s">
        <v>23</v>
      </c>
      <c r="J472" t="s">
        <v>22</v>
      </c>
      <c r="K472" s="2">
        <v>5.3109999999999999</v>
      </c>
      <c r="L472">
        <v>22</v>
      </c>
      <c r="M472" t="s">
        <v>16</v>
      </c>
      <c r="N472" t="s">
        <v>31</v>
      </c>
      <c r="O472" s="3">
        <v>37166</v>
      </c>
      <c r="P472" s="3">
        <v>43369</v>
      </c>
      <c r="Q472" s="1">
        <v>0.75214915525114157</v>
      </c>
      <c r="R472" s="7">
        <v>16.994520547945207</v>
      </c>
      <c r="S472">
        <v>120</v>
      </c>
      <c r="T472" s="2">
        <v>210.25789863013699</v>
      </c>
      <c r="U472" t="s">
        <v>21</v>
      </c>
    </row>
    <row r="473" spans="1:21" hidden="1" x14ac:dyDescent="0.25">
      <c r="A473" t="s">
        <v>106</v>
      </c>
      <c r="B473">
        <v>36.181002999999997</v>
      </c>
      <c r="C473">
        <v>-96.181057999999993</v>
      </c>
      <c r="D473" t="s">
        <v>244</v>
      </c>
      <c r="E473" t="s">
        <v>240</v>
      </c>
      <c r="F473" t="s">
        <v>11</v>
      </c>
      <c r="G473" t="s">
        <v>223</v>
      </c>
      <c r="H473">
        <v>0</v>
      </c>
      <c r="I473" t="s">
        <v>15</v>
      </c>
      <c r="J473" t="s">
        <v>14</v>
      </c>
      <c r="K473" t="s">
        <v>15</v>
      </c>
      <c r="L473">
        <v>22</v>
      </c>
      <c r="M473" t="s">
        <v>16</v>
      </c>
      <c r="N473" t="s">
        <v>17</v>
      </c>
      <c r="O473" s="3">
        <v>37165</v>
      </c>
      <c r="P473" s="3">
        <v>43339</v>
      </c>
      <c r="Q473" s="1" t="s">
        <v>14</v>
      </c>
      <c r="R473" s="7">
        <v>16.915068493150685</v>
      </c>
      <c r="S473" t="s">
        <v>14</v>
      </c>
      <c r="T473" t="s">
        <v>14</v>
      </c>
      <c r="U473" t="s">
        <v>24</v>
      </c>
    </row>
    <row r="474" spans="1:21" hidden="1" x14ac:dyDescent="0.25">
      <c r="A474" t="s">
        <v>106</v>
      </c>
      <c r="B474">
        <v>36.181002999999997</v>
      </c>
      <c r="C474">
        <v>-96.181057999999993</v>
      </c>
      <c r="D474" t="s">
        <v>244</v>
      </c>
      <c r="E474" t="s">
        <v>240</v>
      </c>
      <c r="F474" t="s">
        <v>11</v>
      </c>
      <c r="G474" t="s">
        <v>226</v>
      </c>
      <c r="H474">
        <v>0</v>
      </c>
      <c r="I474" t="s">
        <v>15</v>
      </c>
      <c r="J474" t="s">
        <v>14</v>
      </c>
      <c r="K474" t="s">
        <v>15</v>
      </c>
      <c r="L474">
        <v>16</v>
      </c>
      <c r="M474" t="s">
        <v>33</v>
      </c>
      <c r="N474" t="s">
        <v>17</v>
      </c>
      <c r="O474" s="3">
        <v>37866</v>
      </c>
      <c r="P474" s="3">
        <v>43339</v>
      </c>
      <c r="Q474" s="1" t="s">
        <v>14</v>
      </c>
      <c r="R474" s="7">
        <v>14.994520547945205</v>
      </c>
      <c r="S474" t="s">
        <v>14</v>
      </c>
      <c r="T474" t="s">
        <v>14</v>
      </c>
      <c r="U474" t="s">
        <v>27</v>
      </c>
    </row>
    <row r="475" spans="1:21" hidden="1" x14ac:dyDescent="0.25">
      <c r="A475" t="s">
        <v>107</v>
      </c>
      <c r="B475">
        <v>36.350275000000003</v>
      </c>
      <c r="C475">
        <v>-96.093057999999999</v>
      </c>
      <c r="D475" t="s">
        <v>244</v>
      </c>
      <c r="E475" t="s">
        <v>240</v>
      </c>
      <c r="F475" t="s">
        <v>11</v>
      </c>
      <c r="G475" t="s">
        <v>221</v>
      </c>
      <c r="H475">
        <v>3</v>
      </c>
      <c r="I475" t="s">
        <v>23</v>
      </c>
      <c r="J475" s="4" t="s">
        <v>22</v>
      </c>
      <c r="K475">
        <v>0.125</v>
      </c>
      <c r="L475">
        <v>30</v>
      </c>
      <c r="M475" t="s">
        <v>16</v>
      </c>
      <c r="N475" t="s">
        <v>17</v>
      </c>
      <c r="O475" s="3">
        <v>37781</v>
      </c>
      <c r="P475" s="3">
        <v>44888</v>
      </c>
      <c r="Q475" s="1">
        <v>0.54086757990867573</v>
      </c>
      <c r="R475" s="7">
        <v>19.471232876712328</v>
      </c>
      <c r="S475">
        <v>4.5</v>
      </c>
      <c r="T475" s="2">
        <v>6.933904109589041</v>
      </c>
      <c r="U475" t="s">
        <v>13</v>
      </c>
    </row>
    <row r="476" spans="1:21" hidden="1" x14ac:dyDescent="0.25">
      <c r="A476" t="s">
        <v>107</v>
      </c>
      <c r="B476">
        <v>36.350275000000003</v>
      </c>
      <c r="C476">
        <v>-96.093057999999999</v>
      </c>
      <c r="D476" t="s">
        <v>244</v>
      </c>
      <c r="E476" t="s">
        <v>240</v>
      </c>
      <c r="F476" t="s">
        <v>11</v>
      </c>
      <c r="G476" t="s">
        <v>222</v>
      </c>
      <c r="H476">
        <v>1</v>
      </c>
      <c r="I476" t="s">
        <v>23</v>
      </c>
      <c r="J476" s="4" t="s">
        <v>40</v>
      </c>
      <c r="K476">
        <v>3.5209999999999998E-3</v>
      </c>
      <c r="L476">
        <v>37</v>
      </c>
      <c r="M476" t="s">
        <v>17</v>
      </c>
      <c r="N476" t="s">
        <v>17</v>
      </c>
      <c r="O476" s="3">
        <v>36451</v>
      </c>
      <c r="P476" s="3">
        <v>44853</v>
      </c>
      <c r="Q476" s="1">
        <v>0.16210105205479453</v>
      </c>
      <c r="R476" s="7">
        <v>23.019178082191782</v>
      </c>
      <c r="S476">
        <v>0.5</v>
      </c>
      <c r="T476" s="2">
        <v>0.58105052602739726</v>
      </c>
      <c r="U476" t="s">
        <v>24</v>
      </c>
    </row>
    <row r="477" spans="1:21" hidden="1" x14ac:dyDescent="0.25">
      <c r="A477" t="s">
        <v>107</v>
      </c>
      <c r="B477">
        <v>36.350275000000003</v>
      </c>
      <c r="C477">
        <v>-96.093057999999999</v>
      </c>
      <c r="D477" t="s">
        <v>244</v>
      </c>
      <c r="E477" t="s">
        <v>240</v>
      </c>
      <c r="F477" t="s">
        <v>11</v>
      </c>
      <c r="G477" t="s">
        <v>224</v>
      </c>
      <c r="H477">
        <v>0</v>
      </c>
      <c r="I477" t="s">
        <v>15</v>
      </c>
      <c r="J477" t="s">
        <v>14</v>
      </c>
      <c r="K477" t="s">
        <v>15</v>
      </c>
      <c r="L477">
        <v>23</v>
      </c>
      <c r="M477" t="s">
        <v>17</v>
      </c>
      <c r="N477" t="s">
        <v>17</v>
      </c>
      <c r="O477" s="3">
        <v>38250</v>
      </c>
      <c r="P477" s="3">
        <v>44853</v>
      </c>
      <c r="Q477" s="1" t="s">
        <v>14</v>
      </c>
      <c r="R477" s="7">
        <v>18.090410958904108</v>
      </c>
      <c r="S477" t="s">
        <v>14</v>
      </c>
      <c r="T477" t="s">
        <v>14</v>
      </c>
      <c r="U477" t="s">
        <v>19</v>
      </c>
    </row>
    <row r="478" spans="1:21" hidden="1" x14ac:dyDescent="0.25">
      <c r="A478" t="s">
        <v>107</v>
      </c>
      <c r="B478">
        <v>36.350275000000003</v>
      </c>
      <c r="C478">
        <v>-96.093057999999999</v>
      </c>
      <c r="D478" t="s">
        <v>244</v>
      </c>
      <c r="E478" t="s">
        <v>240</v>
      </c>
      <c r="F478" t="s">
        <v>11</v>
      </c>
      <c r="G478" t="s">
        <v>225</v>
      </c>
      <c r="H478">
        <v>1</v>
      </c>
      <c r="I478" t="s">
        <v>23</v>
      </c>
      <c r="J478" t="s">
        <v>40</v>
      </c>
      <c r="K478" s="2">
        <v>1.621</v>
      </c>
      <c r="L478">
        <v>37</v>
      </c>
      <c r="M478" t="s">
        <v>33</v>
      </c>
      <c r="N478" t="s">
        <v>17</v>
      </c>
      <c r="O478" s="3">
        <v>36452</v>
      </c>
      <c r="P478" s="3">
        <v>44853</v>
      </c>
      <c r="Q478" s="1">
        <v>0.16221585467540203</v>
      </c>
      <c r="R478" s="7">
        <v>23.016438356164382</v>
      </c>
      <c r="S478">
        <v>230</v>
      </c>
      <c r="T478" s="2">
        <v>267.30964657534247</v>
      </c>
      <c r="U478" t="s">
        <v>21</v>
      </c>
    </row>
    <row r="479" spans="1:21" hidden="1" x14ac:dyDescent="0.25">
      <c r="A479" t="s">
        <v>107</v>
      </c>
      <c r="B479">
        <v>36.350275000000003</v>
      </c>
      <c r="C479">
        <v>-96.093057999999999</v>
      </c>
      <c r="D479" t="s">
        <v>244</v>
      </c>
      <c r="E479" t="s">
        <v>240</v>
      </c>
      <c r="F479" t="s">
        <v>11</v>
      </c>
      <c r="G479" t="s">
        <v>223</v>
      </c>
      <c r="H479">
        <v>0</v>
      </c>
      <c r="I479" t="s">
        <v>15</v>
      </c>
      <c r="J479" t="s">
        <v>14</v>
      </c>
      <c r="K479" t="s">
        <v>15</v>
      </c>
      <c r="L479">
        <v>35</v>
      </c>
      <c r="M479" t="s">
        <v>17</v>
      </c>
      <c r="N479" t="s">
        <v>17</v>
      </c>
      <c r="O479" s="3">
        <v>36451</v>
      </c>
      <c r="P479" s="3">
        <v>44853</v>
      </c>
      <c r="Q479" s="1" t="s">
        <v>14</v>
      </c>
      <c r="R479" s="7">
        <v>23.019178082191782</v>
      </c>
      <c r="S479" t="s">
        <v>14</v>
      </c>
      <c r="T479" t="s">
        <v>14</v>
      </c>
      <c r="U479" t="s">
        <v>24</v>
      </c>
    </row>
    <row r="480" spans="1:21" hidden="1" x14ac:dyDescent="0.25">
      <c r="A480" t="s">
        <v>107</v>
      </c>
      <c r="B480">
        <v>36.350275000000003</v>
      </c>
      <c r="C480">
        <v>-96.093057999999999</v>
      </c>
      <c r="D480" t="s">
        <v>244</v>
      </c>
      <c r="E480" t="s">
        <v>240</v>
      </c>
      <c r="F480" t="s">
        <v>11</v>
      </c>
      <c r="G480" t="s">
        <v>226</v>
      </c>
      <c r="H480">
        <v>0</v>
      </c>
      <c r="I480" t="s">
        <v>15</v>
      </c>
      <c r="J480" t="s">
        <v>14</v>
      </c>
      <c r="K480" t="s">
        <v>15</v>
      </c>
      <c r="L480">
        <v>24</v>
      </c>
      <c r="M480" t="s">
        <v>17</v>
      </c>
      <c r="N480" t="s">
        <v>17</v>
      </c>
      <c r="O480" s="3">
        <v>38250</v>
      </c>
      <c r="P480" s="3">
        <v>44853</v>
      </c>
      <c r="Q480" s="1" t="s">
        <v>14</v>
      </c>
      <c r="R480" s="7">
        <v>18.090410958904108</v>
      </c>
      <c r="S480" t="s">
        <v>14</v>
      </c>
      <c r="T480" t="s">
        <v>14</v>
      </c>
      <c r="U480" t="s">
        <v>27</v>
      </c>
    </row>
    <row r="481" spans="1:21" hidden="1" x14ac:dyDescent="0.25">
      <c r="A481" t="s">
        <v>108</v>
      </c>
      <c r="B481">
        <v>36.457703000000002</v>
      </c>
      <c r="C481">
        <v>-96.996131000000005</v>
      </c>
      <c r="D481" t="s">
        <v>95</v>
      </c>
      <c r="E481" t="s">
        <v>240</v>
      </c>
      <c r="F481" t="s">
        <v>11</v>
      </c>
      <c r="G481" t="s">
        <v>221</v>
      </c>
      <c r="H481">
        <v>0</v>
      </c>
      <c r="I481" t="s">
        <v>15</v>
      </c>
      <c r="J481" t="s">
        <v>14</v>
      </c>
      <c r="K481" t="s">
        <v>15</v>
      </c>
      <c r="L481">
        <v>27</v>
      </c>
      <c r="M481" t="s">
        <v>17</v>
      </c>
      <c r="N481" t="s">
        <v>17</v>
      </c>
      <c r="O481" s="3">
        <v>37735</v>
      </c>
      <c r="P481" s="3">
        <v>44095</v>
      </c>
      <c r="Q481" s="1" t="s">
        <v>14</v>
      </c>
      <c r="R481" s="7">
        <v>17.424657534246574</v>
      </c>
      <c r="S481" t="s">
        <v>14</v>
      </c>
      <c r="T481" t="s">
        <v>14</v>
      </c>
      <c r="U481" t="s">
        <v>13</v>
      </c>
    </row>
    <row r="482" spans="1:21" hidden="1" x14ac:dyDescent="0.25">
      <c r="A482" t="s">
        <v>108</v>
      </c>
      <c r="B482">
        <v>36.457703000000002</v>
      </c>
      <c r="C482">
        <v>-96.996131000000005</v>
      </c>
      <c r="D482" t="s">
        <v>95</v>
      </c>
      <c r="E482" t="s">
        <v>240</v>
      </c>
      <c r="F482" t="s">
        <v>11</v>
      </c>
      <c r="G482" t="s">
        <v>222</v>
      </c>
      <c r="H482">
        <v>3</v>
      </c>
      <c r="I482" t="s">
        <v>23</v>
      </c>
      <c r="J482" s="4" t="s">
        <v>22</v>
      </c>
      <c r="K482">
        <v>1.0160000000000001E-2</v>
      </c>
      <c r="L482">
        <v>31</v>
      </c>
      <c r="M482" t="s">
        <v>31</v>
      </c>
      <c r="N482" t="s">
        <v>31</v>
      </c>
      <c r="O482" s="3">
        <v>36444</v>
      </c>
      <c r="P482" s="3">
        <v>44095</v>
      </c>
      <c r="Q482" s="1">
        <v>0.45312830078694272</v>
      </c>
      <c r="R482" s="7">
        <v>20.961643835616439</v>
      </c>
      <c r="S482">
        <v>0.47</v>
      </c>
      <c r="T482" s="2">
        <v>0.68297030136986303</v>
      </c>
      <c r="U482" t="s">
        <v>24</v>
      </c>
    </row>
    <row r="483" spans="1:21" hidden="1" x14ac:dyDescent="0.25">
      <c r="A483" t="s">
        <v>108</v>
      </c>
      <c r="B483">
        <v>36.457703000000002</v>
      </c>
      <c r="C483">
        <v>-96.996131000000005</v>
      </c>
      <c r="D483" t="s">
        <v>95</v>
      </c>
      <c r="E483" t="s">
        <v>240</v>
      </c>
      <c r="F483" t="s">
        <v>11</v>
      </c>
      <c r="G483" t="s">
        <v>224</v>
      </c>
      <c r="H483">
        <v>0</v>
      </c>
      <c r="I483" t="s">
        <v>15</v>
      </c>
      <c r="J483" t="s">
        <v>14</v>
      </c>
      <c r="K483" t="s">
        <v>15</v>
      </c>
      <c r="L483">
        <v>19</v>
      </c>
      <c r="M483" t="s">
        <v>17</v>
      </c>
      <c r="N483" t="s">
        <v>17</v>
      </c>
      <c r="O483" s="3">
        <v>38308</v>
      </c>
      <c r="P483" s="3">
        <v>44095</v>
      </c>
      <c r="Q483" s="1" t="s">
        <v>14</v>
      </c>
      <c r="R483" s="7">
        <v>15.854794520547944</v>
      </c>
      <c r="S483" t="s">
        <v>14</v>
      </c>
      <c r="T483" t="s">
        <v>14</v>
      </c>
      <c r="U483" t="s">
        <v>19</v>
      </c>
    </row>
    <row r="484" spans="1:21" hidden="1" x14ac:dyDescent="0.25">
      <c r="A484" t="s">
        <v>108</v>
      </c>
      <c r="B484">
        <v>36.457703000000002</v>
      </c>
      <c r="C484">
        <v>-96.996131000000005</v>
      </c>
      <c r="D484" t="s">
        <v>95</v>
      </c>
      <c r="E484" t="s">
        <v>240</v>
      </c>
      <c r="F484" t="s">
        <v>11</v>
      </c>
      <c r="G484" t="s">
        <v>225</v>
      </c>
      <c r="H484">
        <v>3</v>
      </c>
      <c r="I484" t="s">
        <v>23</v>
      </c>
      <c r="J484" t="s">
        <v>22</v>
      </c>
      <c r="K484" s="2">
        <v>22.91</v>
      </c>
      <c r="L484">
        <v>31</v>
      </c>
      <c r="M484" t="s">
        <v>16</v>
      </c>
      <c r="N484" t="s">
        <v>16</v>
      </c>
      <c r="O484" s="3">
        <v>36444</v>
      </c>
      <c r="P484" s="3">
        <v>44132</v>
      </c>
      <c r="Q484" s="1">
        <v>0.2680853576864537</v>
      </c>
      <c r="R484" s="7">
        <v>21.063013698630137</v>
      </c>
      <c r="S484">
        <v>1800</v>
      </c>
      <c r="T484" s="2">
        <v>2282.5536438356166</v>
      </c>
      <c r="U484" t="s">
        <v>21</v>
      </c>
    </row>
    <row r="485" spans="1:21" hidden="1" x14ac:dyDescent="0.25">
      <c r="A485" t="s">
        <v>108</v>
      </c>
      <c r="B485">
        <v>36.457703000000002</v>
      </c>
      <c r="C485">
        <v>-96.996131000000005</v>
      </c>
      <c r="D485" t="s">
        <v>95</v>
      </c>
      <c r="E485" t="s">
        <v>240</v>
      </c>
      <c r="F485" t="s">
        <v>11</v>
      </c>
      <c r="G485" t="s">
        <v>223</v>
      </c>
      <c r="H485">
        <v>0</v>
      </c>
      <c r="I485" t="s">
        <v>15</v>
      </c>
      <c r="J485" t="s">
        <v>14</v>
      </c>
      <c r="K485" t="s">
        <v>15</v>
      </c>
      <c r="L485">
        <v>31</v>
      </c>
      <c r="M485" t="s">
        <v>16</v>
      </c>
      <c r="N485" t="s">
        <v>17</v>
      </c>
      <c r="O485" s="3">
        <v>36444</v>
      </c>
      <c r="P485" s="3">
        <v>44095</v>
      </c>
      <c r="Q485" s="1" t="s">
        <v>14</v>
      </c>
      <c r="R485" s="7">
        <v>20.961643835616439</v>
      </c>
      <c r="S485" t="s">
        <v>14</v>
      </c>
      <c r="T485" t="s">
        <v>14</v>
      </c>
      <c r="U485" t="s">
        <v>24</v>
      </c>
    </row>
    <row r="486" spans="1:21" hidden="1" x14ac:dyDescent="0.25">
      <c r="A486" t="s">
        <v>108</v>
      </c>
      <c r="B486">
        <v>36.457703000000002</v>
      </c>
      <c r="C486">
        <v>-96.996131000000005</v>
      </c>
      <c r="D486" t="s">
        <v>95</v>
      </c>
      <c r="E486" t="s">
        <v>240</v>
      </c>
      <c r="F486" t="s">
        <v>11</v>
      </c>
      <c r="G486" t="s">
        <v>226</v>
      </c>
      <c r="H486">
        <v>-3</v>
      </c>
      <c r="I486" t="s">
        <v>29</v>
      </c>
      <c r="J486" s="4" t="s">
        <v>32</v>
      </c>
      <c r="K486">
        <v>-0.15279999999999999</v>
      </c>
      <c r="L486">
        <v>23</v>
      </c>
      <c r="M486" t="s">
        <v>17</v>
      </c>
      <c r="N486" t="s">
        <v>17</v>
      </c>
      <c r="O486" s="3">
        <v>38308</v>
      </c>
      <c r="P486" s="3">
        <v>44095</v>
      </c>
      <c r="Q486" s="1">
        <v>-0.44047501867995015</v>
      </c>
      <c r="R486" s="7">
        <v>15.854794520547944</v>
      </c>
      <c r="S486">
        <v>5.5</v>
      </c>
      <c r="T486" s="2">
        <v>3.0773873972602743</v>
      </c>
      <c r="U486" t="s">
        <v>27</v>
      </c>
    </row>
    <row r="487" spans="1:21" hidden="1" x14ac:dyDescent="0.25">
      <c r="A487" t="s">
        <v>109</v>
      </c>
      <c r="B487">
        <v>36.382919000000001</v>
      </c>
      <c r="C487">
        <v>-95.046614000000005</v>
      </c>
      <c r="D487" t="s">
        <v>271</v>
      </c>
      <c r="E487" t="s">
        <v>240</v>
      </c>
      <c r="F487" t="s">
        <v>11</v>
      </c>
      <c r="G487" t="s">
        <v>221</v>
      </c>
      <c r="H487">
        <v>2</v>
      </c>
      <c r="I487" t="s">
        <v>23</v>
      </c>
      <c r="J487" s="4" t="s">
        <v>38</v>
      </c>
      <c r="K487">
        <v>0.158</v>
      </c>
      <c r="L487">
        <v>30</v>
      </c>
      <c r="O487" s="3">
        <v>37781</v>
      </c>
      <c r="P487" s="3">
        <v>44888</v>
      </c>
      <c r="Q487" s="1">
        <v>0.76911369863013701</v>
      </c>
      <c r="R487" s="7">
        <v>19.471232876712328</v>
      </c>
      <c r="S487">
        <v>4</v>
      </c>
      <c r="T487" s="2">
        <v>7.076454794520548</v>
      </c>
      <c r="U487" t="s">
        <v>13</v>
      </c>
    </row>
    <row r="488" spans="1:21" hidden="1" x14ac:dyDescent="0.25">
      <c r="A488" t="s">
        <v>109</v>
      </c>
      <c r="B488">
        <v>36.382919000000001</v>
      </c>
      <c r="C488">
        <v>-95.046614000000005</v>
      </c>
      <c r="D488" t="s">
        <v>271</v>
      </c>
      <c r="E488" t="s">
        <v>240</v>
      </c>
      <c r="F488" t="s">
        <v>11</v>
      </c>
      <c r="G488" t="s">
        <v>222</v>
      </c>
      <c r="H488">
        <v>1</v>
      </c>
      <c r="I488" t="s">
        <v>23</v>
      </c>
      <c r="J488" s="4" t="s">
        <v>40</v>
      </c>
      <c r="K488">
        <v>1.5169999999999999E-2</v>
      </c>
      <c r="L488">
        <v>35</v>
      </c>
      <c r="O488" s="3">
        <v>37546</v>
      </c>
      <c r="P488" s="3">
        <v>43706</v>
      </c>
      <c r="Q488" s="1">
        <v>0.42669954337899535</v>
      </c>
      <c r="R488" s="7">
        <v>16.876712328767123</v>
      </c>
      <c r="S488">
        <v>0.6</v>
      </c>
      <c r="T488" s="2">
        <v>0.85601972602739718</v>
      </c>
      <c r="U488" t="s">
        <v>24</v>
      </c>
    </row>
    <row r="489" spans="1:21" hidden="1" x14ac:dyDescent="0.25">
      <c r="A489" t="s">
        <v>109</v>
      </c>
      <c r="B489">
        <v>36.382919000000001</v>
      </c>
      <c r="C489">
        <v>-95.046614000000005</v>
      </c>
      <c r="D489" t="s">
        <v>271</v>
      </c>
      <c r="E489" t="s">
        <v>240</v>
      </c>
      <c r="F489" t="s">
        <v>11</v>
      </c>
      <c r="G489" t="s">
        <v>224</v>
      </c>
      <c r="H489">
        <v>-2</v>
      </c>
      <c r="I489" t="s">
        <v>29</v>
      </c>
      <c r="J489" s="4" t="s">
        <v>34</v>
      </c>
      <c r="K489">
        <v>-1.863</v>
      </c>
      <c r="L489">
        <v>26</v>
      </c>
      <c r="O489" s="3">
        <v>38287</v>
      </c>
      <c r="P489" s="3">
        <v>43702</v>
      </c>
      <c r="Q489" s="1">
        <v>-0.23422672393777574</v>
      </c>
      <c r="R489" s="7">
        <v>14.835616438356164</v>
      </c>
      <c r="S489">
        <v>118</v>
      </c>
      <c r="T489" s="2">
        <v>90.361246575342463</v>
      </c>
      <c r="U489" t="s">
        <v>19</v>
      </c>
    </row>
    <row r="490" spans="1:21" hidden="1" x14ac:dyDescent="0.25">
      <c r="A490" t="s">
        <v>109</v>
      </c>
      <c r="B490">
        <v>36.382919000000001</v>
      </c>
      <c r="C490">
        <v>-95.046614000000005</v>
      </c>
      <c r="D490" t="s">
        <v>271</v>
      </c>
      <c r="E490" t="s">
        <v>240</v>
      </c>
      <c r="F490" t="s">
        <v>11</v>
      </c>
      <c r="G490" t="s">
        <v>225</v>
      </c>
      <c r="H490">
        <v>0</v>
      </c>
      <c r="I490" t="s">
        <v>15</v>
      </c>
      <c r="J490" t="s">
        <v>14</v>
      </c>
      <c r="K490" s="2" t="s">
        <v>15</v>
      </c>
      <c r="L490">
        <v>36</v>
      </c>
      <c r="M490" t="s">
        <v>16</v>
      </c>
      <c r="N490" t="s">
        <v>17</v>
      </c>
      <c r="O490" s="3">
        <v>37546</v>
      </c>
      <c r="P490" s="3">
        <v>43676</v>
      </c>
      <c r="Q490" s="1" t="s">
        <v>14</v>
      </c>
      <c r="R490" s="7">
        <v>16.794520547945204</v>
      </c>
      <c r="S490" t="s">
        <v>14</v>
      </c>
      <c r="T490" t="s">
        <v>14</v>
      </c>
      <c r="U490" t="s">
        <v>21</v>
      </c>
    </row>
    <row r="491" spans="1:21" hidden="1" x14ac:dyDescent="0.25">
      <c r="A491" t="s">
        <v>109</v>
      </c>
      <c r="B491">
        <v>36.382919000000001</v>
      </c>
      <c r="C491">
        <v>-95.046614000000005</v>
      </c>
      <c r="D491" t="s">
        <v>271</v>
      </c>
      <c r="E491" t="s">
        <v>240</v>
      </c>
      <c r="F491" t="s">
        <v>11</v>
      </c>
      <c r="G491" t="s">
        <v>223</v>
      </c>
      <c r="H491">
        <v>0</v>
      </c>
      <c r="I491" t="s">
        <v>15</v>
      </c>
      <c r="J491" t="s">
        <v>14</v>
      </c>
      <c r="K491" t="s">
        <v>15</v>
      </c>
      <c r="L491">
        <v>35</v>
      </c>
      <c r="O491" s="3">
        <v>37546</v>
      </c>
      <c r="P491" s="3">
        <v>43676</v>
      </c>
      <c r="Q491" s="1" t="s">
        <v>14</v>
      </c>
      <c r="R491" s="7">
        <v>16.794520547945204</v>
      </c>
      <c r="S491" t="s">
        <v>14</v>
      </c>
      <c r="T491" t="s">
        <v>14</v>
      </c>
      <c r="U491" t="s">
        <v>24</v>
      </c>
    </row>
    <row r="492" spans="1:21" hidden="1" x14ac:dyDescent="0.25">
      <c r="A492" t="s">
        <v>109</v>
      </c>
      <c r="B492">
        <v>36.382919000000001</v>
      </c>
      <c r="C492">
        <v>-95.046614000000005</v>
      </c>
      <c r="D492" t="s">
        <v>271</v>
      </c>
      <c r="E492" t="s">
        <v>240</v>
      </c>
      <c r="F492" t="s">
        <v>11</v>
      </c>
      <c r="G492" t="s">
        <v>226</v>
      </c>
      <c r="H492">
        <v>0</v>
      </c>
      <c r="I492" t="s">
        <v>15</v>
      </c>
      <c r="J492" t="s">
        <v>14</v>
      </c>
      <c r="K492" t="s">
        <v>15</v>
      </c>
      <c r="L492">
        <v>30</v>
      </c>
      <c r="O492" s="3">
        <v>38287</v>
      </c>
      <c r="P492" s="3">
        <v>43676</v>
      </c>
      <c r="Q492" s="1" t="s">
        <v>14</v>
      </c>
      <c r="R492" s="7">
        <v>14.764383561643836</v>
      </c>
      <c r="S492" t="s">
        <v>14</v>
      </c>
      <c r="T492" t="s">
        <v>14</v>
      </c>
      <c r="U492" t="s">
        <v>27</v>
      </c>
    </row>
    <row r="493" spans="1:21" hidden="1" x14ac:dyDescent="0.25">
      <c r="A493" t="s">
        <v>210</v>
      </c>
      <c r="B493">
        <v>35.327660999999999</v>
      </c>
      <c r="C493">
        <v>-97.351253</v>
      </c>
      <c r="D493" t="s">
        <v>282</v>
      </c>
      <c r="E493" t="s">
        <v>240</v>
      </c>
      <c r="F493" t="s">
        <v>11</v>
      </c>
      <c r="G493" t="s">
        <v>221</v>
      </c>
      <c r="H493">
        <v>3</v>
      </c>
      <c r="I493" t="s">
        <v>23</v>
      </c>
      <c r="J493" s="4" t="s">
        <v>22</v>
      </c>
      <c r="K493">
        <v>7.4429999999999996E-2</v>
      </c>
      <c r="L493">
        <v>29</v>
      </c>
      <c r="M493" t="s">
        <v>16</v>
      </c>
      <c r="N493" t="s">
        <v>17</v>
      </c>
      <c r="O493" s="3">
        <v>37873</v>
      </c>
      <c r="P493" s="3">
        <v>44492</v>
      </c>
      <c r="Q493" s="1">
        <v>0.56238832191780819</v>
      </c>
      <c r="R493" s="7">
        <v>18.134246575342466</v>
      </c>
      <c r="S493">
        <v>2.4</v>
      </c>
      <c r="T493" s="2">
        <v>3.7497319726027394</v>
      </c>
      <c r="U493" t="s">
        <v>13</v>
      </c>
    </row>
    <row r="494" spans="1:21" hidden="1" x14ac:dyDescent="0.25">
      <c r="A494" t="s">
        <v>210</v>
      </c>
      <c r="B494">
        <v>35.327660999999999</v>
      </c>
      <c r="C494">
        <v>-97.351253</v>
      </c>
      <c r="D494" t="s">
        <v>282</v>
      </c>
      <c r="E494" t="s">
        <v>240</v>
      </c>
      <c r="F494" t="s">
        <v>11</v>
      </c>
      <c r="G494" t="s">
        <v>222</v>
      </c>
      <c r="H494">
        <v>0</v>
      </c>
      <c r="I494" t="s">
        <v>15</v>
      </c>
      <c r="J494" t="s">
        <v>14</v>
      </c>
      <c r="K494" t="s">
        <v>15</v>
      </c>
      <c r="L494">
        <v>34</v>
      </c>
      <c r="M494" t="s">
        <v>16</v>
      </c>
      <c r="N494" t="s">
        <v>16</v>
      </c>
      <c r="O494" s="3">
        <v>37175</v>
      </c>
      <c r="P494" s="3">
        <v>44460</v>
      </c>
      <c r="Q494" s="1" t="s">
        <v>14</v>
      </c>
      <c r="R494" s="7">
        <v>19.958904109589042</v>
      </c>
      <c r="S494" t="s">
        <v>14</v>
      </c>
      <c r="T494" t="s">
        <v>14</v>
      </c>
      <c r="U494" t="s">
        <v>24</v>
      </c>
    </row>
    <row r="495" spans="1:21" hidden="1" x14ac:dyDescent="0.25">
      <c r="A495" t="s">
        <v>210</v>
      </c>
      <c r="B495">
        <v>35.327660999999999</v>
      </c>
      <c r="C495">
        <v>-97.351253</v>
      </c>
      <c r="D495" t="s">
        <v>282</v>
      </c>
      <c r="E495" t="s">
        <v>240</v>
      </c>
      <c r="F495" t="s">
        <v>11</v>
      </c>
      <c r="G495" t="s">
        <v>224</v>
      </c>
      <c r="H495">
        <v>0</v>
      </c>
      <c r="I495" t="s">
        <v>15</v>
      </c>
      <c r="J495" t="s">
        <v>14</v>
      </c>
      <c r="K495" t="s">
        <v>15</v>
      </c>
      <c r="L495">
        <v>25</v>
      </c>
      <c r="M495" t="s">
        <v>16</v>
      </c>
      <c r="N495" t="s">
        <v>17</v>
      </c>
      <c r="O495" s="3">
        <v>37873</v>
      </c>
      <c r="P495" s="3">
        <v>44460</v>
      </c>
      <c r="Q495" s="1" t="s">
        <v>14</v>
      </c>
      <c r="R495" s="7">
        <v>18.046575342465754</v>
      </c>
      <c r="S495" t="s">
        <v>14</v>
      </c>
      <c r="T495" t="s">
        <v>14</v>
      </c>
      <c r="U495" t="s">
        <v>19</v>
      </c>
    </row>
    <row r="496" spans="1:21" hidden="1" x14ac:dyDescent="0.25">
      <c r="A496" t="s">
        <v>210</v>
      </c>
      <c r="B496">
        <v>35.327660999999999</v>
      </c>
      <c r="C496">
        <v>-97.351253</v>
      </c>
      <c r="D496" t="s">
        <v>282</v>
      </c>
      <c r="E496" t="s">
        <v>240</v>
      </c>
      <c r="F496" t="s">
        <v>11</v>
      </c>
      <c r="G496" t="s">
        <v>225</v>
      </c>
      <c r="H496">
        <v>3</v>
      </c>
      <c r="I496" t="s">
        <v>23</v>
      </c>
      <c r="J496" t="s">
        <v>22</v>
      </c>
      <c r="K496" s="2">
        <v>0.83640000000000003</v>
      </c>
      <c r="L496">
        <v>40</v>
      </c>
      <c r="M496" t="s">
        <v>16</v>
      </c>
      <c r="N496" t="s">
        <v>17</v>
      </c>
      <c r="O496" s="3">
        <v>35590</v>
      </c>
      <c r="P496" s="3">
        <v>45216</v>
      </c>
      <c r="Q496" s="1">
        <v>0.22058044931506857</v>
      </c>
      <c r="R496" s="7">
        <v>26.372602739726027</v>
      </c>
      <c r="S496">
        <v>100</v>
      </c>
      <c r="T496" s="2">
        <v>122.05804493150686</v>
      </c>
      <c r="U496" t="s">
        <v>21</v>
      </c>
    </row>
    <row r="497" spans="1:21" hidden="1" x14ac:dyDescent="0.25">
      <c r="A497" t="s">
        <v>210</v>
      </c>
      <c r="B497">
        <v>35.327660999999999</v>
      </c>
      <c r="C497">
        <v>-97.351253</v>
      </c>
      <c r="D497" t="s">
        <v>282</v>
      </c>
      <c r="E497" t="s">
        <v>240</v>
      </c>
      <c r="F497" t="s">
        <v>11</v>
      </c>
      <c r="G497" t="s">
        <v>223</v>
      </c>
      <c r="H497">
        <v>0</v>
      </c>
      <c r="I497" t="s">
        <v>15</v>
      </c>
      <c r="J497" t="s">
        <v>14</v>
      </c>
      <c r="K497" t="s">
        <v>15</v>
      </c>
      <c r="L497">
        <v>34</v>
      </c>
      <c r="M497" t="s">
        <v>16</v>
      </c>
      <c r="N497" t="s">
        <v>31</v>
      </c>
      <c r="O497" s="3">
        <v>37175</v>
      </c>
      <c r="P497" s="3">
        <v>44460</v>
      </c>
      <c r="Q497" s="1" t="s">
        <v>14</v>
      </c>
      <c r="R497" s="7">
        <v>19.958904109589042</v>
      </c>
      <c r="S497" t="s">
        <v>14</v>
      </c>
      <c r="T497" t="s">
        <v>14</v>
      </c>
      <c r="U497" t="s">
        <v>24</v>
      </c>
    </row>
    <row r="498" spans="1:21" hidden="1" x14ac:dyDescent="0.25">
      <c r="A498" t="s">
        <v>210</v>
      </c>
      <c r="B498">
        <v>35.327660999999999</v>
      </c>
      <c r="C498">
        <v>-97.351253</v>
      </c>
      <c r="D498" t="s">
        <v>282</v>
      </c>
      <c r="E498" t="s">
        <v>240</v>
      </c>
      <c r="F498" t="s">
        <v>11</v>
      </c>
      <c r="G498" t="s">
        <v>226</v>
      </c>
      <c r="H498">
        <v>-2</v>
      </c>
      <c r="I498" t="s">
        <v>29</v>
      </c>
      <c r="J498" s="4" t="s">
        <v>34</v>
      </c>
      <c r="K498">
        <v>-0.70820000000000005</v>
      </c>
      <c r="L498">
        <v>22</v>
      </c>
      <c r="M498" t="s">
        <v>16</v>
      </c>
      <c r="N498" t="s">
        <v>17</v>
      </c>
      <c r="O498" s="3">
        <v>37873</v>
      </c>
      <c r="P498" s="3">
        <v>44460</v>
      </c>
      <c r="Q498" s="1">
        <v>-0.60859926940639275</v>
      </c>
      <c r="R498" s="7">
        <v>18.046575342465754</v>
      </c>
      <c r="S498">
        <v>21</v>
      </c>
      <c r="T498" s="2">
        <v>8.2194153424657515</v>
      </c>
      <c r="U498" t="s">
        <v>27</v>
      </c>
    </row>
    <row r="499" spans="1:21" hidden="1" x14ac:dyDescent="0.25">
      <c r="A499" t="s">
        <v>110</v>
      </c>
      <c r="B499">
        <v>35.795949999999998</v>
      </c>
      <c r="C499">
        <v>-96.603274999999996</v>
      </c>
      <c r="D499" t="s">
        <v>265</v>
      </c>
      <c r="E499" t="s">
        <v>240</v>
      </c>
      <c r="F499" t="s">
        <v>11</v>
      </c>
      <c r="G499" t="s">
        <v>221</v>
      </c>
      <c r="H499">
        <v>1</v>
      </c>
      <c r="I499" t="s">
        <v>23</v>
      </c>
      <c r="J499" s="5" t="s">
        <v>40</v>
      </c>
      <c r="K499">
        <v>0.20899999999999999</v>
      </c>
      <c r="L499">
        <v>23</v>
      </c>
      <c r="M499" t="s">
        <v>16</v>
      </c>
      <c r="N499" t="s">
        <v>16</v>
      </c>
      <c r="O499" s="3">
        <v>37888</v>
      </c>
      <c r="P499" s="3">
        <v>43676</v>
      </c>
      <c r="Q499" s="1">
        <v>1.1047415525114157</v>
      </c>
      <c r="R499" s="7">
        <v>15.857534246575343</v>
      </c>
      <c r="S499">
        <v>3</v>
      </c>
      <c r="T499" s="2">
        <v>6.3142246575342469</v>
      </c>
      <c r="U499" t="s">
        <v>13</v>
      </c>
    </row>
    <row r="500" spans="1:21" hidden="1" x14ac:dyDescent="0.25">
      <c r="A500" t="s">
        <v>110</v>
      </c>
      <c r="B500">
        <v>35.795949999999998</v>
      </c>
      <c r="C500">
        <v>-96.603274999999996</v>
      </c>
      <c r="D500" t="s">
        <v>265</v>
      </c>
      <c r="E500" t="s">
        <v>240</v>
      </c>
      <c r="F500" t="s">
        <v>11</v>
      </c>
      <c r="G500" t="s">
        <v>222</v>
      </c>
      <c r="H500">
        <v>3</v>
      </c>
      <c r="I500" t="s">
        <v>23</v>
      </c>
      <c r="J500" s="4" t="s">
        <v>22</v>
      </c>
      <c r="K500">
        <v>1.5599999999999999E-2</v>
      </c>
      <c r="L500">
        <v>28</v>
      </c>
      <c r="M500" t="s">
        <v>17</v>
      </c>
      <c r="N500" t="s">
        <v>33</v>
      </c>
      <c r="O500" s="3">
        <v>37181</v>
      </c>
      <c r="P500" s="3">
        <v>43668</v>
      </c>
      <c r="Q500" s="1">
        <v>0.77014611872146133</v>
      </c>
      <c r="R500" s="7">
        <v>17.772602739726029</v>
      </c>
      <c r="S500">
        <v>0.36</v>
      </c>
      <c r="T500" s="2">
        <v>0.63725260273972606</v>
      </c>
      <c r="U500" t="s">
        <v>24</v>
      </c>
    </row>
    <row r="501" spans="1:21" hidden="1" x14ac:dyDescent="0.25">
      <c r="A501" t="s">
        <v>110</v>
      </c>
      <c r="B501">
        <v>35.795949999999998</v>
      </c>
      <c r="C501">
        <v>-96.603274999999996</v>
      </c>
      <c r="D501" t="s">
        <v>265</v>
      </c>
      <c r="E501" t="s">
        <v>240</v>
      </c>
      <c r="F501" t="s">
        <v>11</v>
      </c>
      <c r="G501" t="s">
        <v>224</v>
      </c>
      <c r="H501">
        <v>-3</v>
      </c>
      <c r="I501" t="s">
        <v>29</v>
      </c>
      <c r="J501" s="4" t="s">
        <v>32</v>
      </c>
      <c r="K501">
        <v>-2.65</v>
      </c>
      <c r="L501">
        <v>22</v>
      </c>
      <c r="M501" t="s">
        <v>31</v>
      </c>
      <c r="N501" t="s">
        <v>17</v>
      </c>
      <c r="O501" s="3">
        <v>37888</v>
      </c>
      <c r="P501" s="3">
        <v>43668</v>
      </c>
      <c r="Q501" s="1">
        <v>-0.35264187866927599</v>
      </c>
      <c r="R501" s="7">
        <v>15.835616438356164</v>
      </c>
      <c r="S501">
        <v>119</v>
      </c>
      <c r="T501" s="2">
        <v>77.035616438356158</v>
      </c>
      <c r="U501" t="s">
        <v>19</v>
      </c>
    </row>
    <row r="502" spans="1:21" hidden="1" x14ac:dyDescent="0.25">
      <c r="A502" t="s">
        <v>110</v>
      </c>
      <c r="B502">
        <v>35.795949999999998</v>
      </c>
      <c r="C502">
        <v>-96.603274999999996</v>
      </c>
      <c r="D502" t="s">
        <v>265</v>
      </c>
      <c r="E502" t="s">
        <v>240</v>
      </c>
      <c r="F502" t="s">
        <v>11</v>
      </c>
      <c r="G502" t="s">
        <v>225</v>
      </c>
      <c r="H502">
        <v>3</v>
      </c>
      <c r="I502" t="s">
        <v>23</v>
      </c>
      <c r="J502" t="s">
        <v>22</v>
      </c>
      <c r="K502" s="2">
        <v>3.63</v>
      </c>
      <c r="L502">
        <v>26</v>
      </c>
      <c r="M502" t="s">
        <v>16</v>
      </c>
      <c r="N502" t="s">
        <v>16</v>
      </c>
      <c r="O502" s="3">
        <v>37181</v>
      </c>
      <c r="P502" s="3">
        <v>43700</v>
      </c>
      <c r="Q502" s="1">
        <v>0.4052049657534248</v>
      </c>
      <c r="R502" s="7">
        <v>17.860273972602741</v>
      </c>
      <c r="S502">
        <v>160</v>
      </c>
      <c r="T502" s="2">
        <v>224.83279452054796</v>
      </c>
      <c r="U502" t="s">
        <v>21</v>
      </c>
    </row>
    <row r="503" spans="1:21" hidden="1" x14ac:dyDescent="0.25">
      <c r="A503" t="s">
        <v>110</v>
      </c>
      <c r="B503">
        <v>35.795949999999998</v>
      </c>
      <c r="C503">
        <v>-96.603274999999996</v>
      </c>
      <c r="D503" t="s">
        <v>265</v>
      </c>
      <c r="E503" t="s">
        <v>240</v>
      </c>
      <c r="F503" t="s">
        <v>11</v>
      </c>
      <c r="G503" t="s">
        <v>223</v>
      </c>
      <c r="H503">
        <v>0</v>
      </c>
      <c r="I503" t="s">
        <v>15</v>
      </c>
      <c r="J503" t="s">
        <v>14</v>
      </c>
      <c r="K503" t="s">
        <v>15</v>
      </c>
      <c r="L503">
        <v>28</v>
      </c>
      <c r="M503" t="s">
        <v>16</v>
      </c>
      <c r="N503" t="s">
        <v>17</v>
      </c>
      <c r="O503" s="3">
        <v>37181</v>
      </c>
      <c r="P503" s="3">
        <v>43668</v>
      </c>
      <c r="Q503" s="1" t="s">
        <v>14</v>
      </c>
      <c r="R503" s="7">
        <v>17.772602739726029</v>
      </c>
      <c r="S503" t="s">
        <v>14</v>
      </c>
      <c r="T503" t="s">
        <v>14</v>
      </c>
      <c r="U503" t="s">
        <v>24</v>
      </c>
    </row>
    <row r="504" spans="1:21" hidden="1" x14ac:dyDescent="0.25">
      <c r="A504" t="s">
        <v>110</v>
      </c>
      <c r="B504">
        <v>35.795949999999998</v>
      </c>
      <c r="C504">
        <v>-96.603274999999996</v>
      </c>
      <c r="D504" t="s">
        <v>265</v>
      </c>
      <c r="E504" t="s">
        <v>240</v>
      </c>
      <c r="F504" t="s">
        <v>11</v>
      </c>
      <c r="G504" t="s">
        <v>226</v>
      </c>
      <c r="H504">
        <v>3</v>
      </c>
      <c r="I504" t="s">
        <v>23</v>
      </c>
      <c r="J504" s="4" t="s">
        <v>22</v>
      </c>
      <c r="K504">
        <v>0.53369999999999995</v>
      </c>
      <c r="L504">
        <v>22</v>
      </c>
      <c r="M504" t="s">
        <v>16</v>
      </c>
      <c r="N504" t="s">
        <v>17</v>
      </c>
      <c r="O504" s="3">
        <v>37888</v>
      </c>
      <c r="P504" s="3">
        <v>43668</v>
      </c>
      <c r="Q504" s="1">
        <v>2.8171561643835612</v>
      </c>
      <c r="R504" s="7">
        <v>15.835616438356164</v>
      </c>
      <c r="S504">
        <v>3</v>
      </c>
      <c r="T504" s="2">
        <v>11.451468493150683</v>
      </c>
      <c r="U504" t="s">
        <v>27</v>
      </c>
    </row>
    <row r="505" spans="1:21" hidden="1" x14ac:dyDescent="0.25">
      <c r="A505" t="s">
        <v>111</v>
      </c>
      <c r="B505">
        <v>34.977739</v>
      </c>
      <c r="C505">
        <v>-95.793492000000001</v>
      </c>
      <c r="D505" t="s">
        <v>272</v>
      </c>
      <c r="E505" t="s">
        <v>240</v>
      </c>
      <c r="F505" t="s">
        <v>11</v>
      </c>
      <c r="G505" t="s">
        <v>221</v>
      </c>
      <c r="H505">
        <v>0</v>
      </c>
      <c r="I505" t="s">
        <v>15</v>
      </c>
      <c r="J505" t="s">
        <v>14</v>
      </c>
      <c r="K505" t="s">
        <v>15</v>
      </c>
      <c r="L505">
        <v>20</v>
      </c>
      <c r="M505" t="s">
        <v>16</v>
      </c>
      <c r="N505" t="s">
        <v>17</v>
      </c>
      <c r="O505" s="3">
        <v>37629</v>
      </c>
      <c r="P505" s="3">
        <v>44419</v>
      </c>
      <c r="Q505" s="1" t="s">
        <v>14</v>
      </c>
      <c r="R505" s="7">
        <v>18.602739726027398</v>
      </c>
      <c r="S505" t="s">
        <v>14</v>
      </c>
      <c r="T505" t="s">
        <v>14</v>
      </c>
      <c r="U505" t="s">
        <v>13</v>
      </c>
    </row>
    <row r="506" spans="1:21" hidden="1" x14ac:dyDescent="0.25">
      <c r="A506" t="s">
        <v>111</v>
      </c>
      <c r="B506">
        <v>34.977739</v>
      </c>
      <c r="C506">
        <v>-95.793492000000001</v>
      </c>
      <c r="D506" t="s">
        <v>272</v>
      </c>
      <c r="E506" t="s">
        <v>240</v>
      </c>
      <c r="F506" t="s">
        <v>11</v>
      </c>
      <c r="G506" t="s">
        <v>222</v>
      </c>
      <c r="H506">
        <v>0</v>
      </c>
      <c r="I506" t="s">
        <v>15</v>
      </c>
      <c r="J506" t="s">
        <v>14</v>
      </c>
      <c r="K506" t="s">
        <v>15</v>
      </c>
      <c r="L506">
        <v>24</v>
      </c>
      <c r="M506" t="s">
        <v>31</v>
      </c>
      <c r="N506" t="s">
        <v>16</v>
      </c>
      <c r="O506" s="3">
        <v>35934</v>
      </c>
      <c r="P506" s="3">
        <v>44419</v>
      </c>
      <c r="Q506" s="1" t="s">
        <v>14</v>
      </c>
      <c r="R506" s="7">
        <v>23.246575342465754</v>
      </c>
      <c r="S506" t="s">
        <v>14</v>
      </c>
      <c r="T506" t="s">
        <v>14</v>
      </c>
      <c r="U506" t="s">
        <v>24</v>
      </c>
    </row>
    <row r="507" spans="1:21" hidden="1" x14ac:dyDescent="0.25">
      <c r="A507" t="s">
        <v>111</v>
      </c>
      <c r="B507">
        <v>34.977739</v>
      </c>
      <c r="C507">
        <v>-95.793492000000001</v>
      </c>
      <c r="D507" t="s">
        <v>272</v>
      </c>
      <c r="E507" t="s">
        <v>240</v>
      </c>
      <c r="F507" t="s">
        <v>11</v>
      </c>
      <c r="G507" t="s">
        <v>224</v>
      </c>
      <c r="H507">
        <v>-1</v>
      </c>
      <c r="I507" t="s">
        <v>29</v>
      </c>
      <c r="J507" s="5" t="s">
        <v>28</v>
      </c>
      <c r="K507">
        <v>-3.2330000000000001</v>
      </c>
      <c r="L507">
        <v>17</v>
      </c>
      <c r="M507" t="s">
        <v>16</v>
      </c>
      <c r="N507" t="s">
        <v>31</v>
      </c>
      <c r="O507" s="3">
        <v>36822</v>
      </c>
      <c r="P507" s="3">
        <v>44456</v>
      </c>
      <c r="Q507" s="1">
        <v>-0.32199245923026754</v>
      </c>
      <c r="R507" s="7">
        <v>20.915068493150685</v>
      </c>
      <c r="S507">
        <v>210</v>
      </c>
      <c r="T507" s="2">
        <v>142.38158356164382</v>
      </c>
      <c r="U507" t="s">
        <v>19</v>
      </c>
    </row>
    <row r="508" spans="1:21" hidden="1" x14ac:dyDescent="0.25">
      <c r="A508" t="s">
        <v>111</v>
      </c>
      <c r="B508">
        <v>34.977739</v>
      </c>
      <c r="C508">
        <v>-95.793492000000001</v>
      </c>
      <c r="D508" t="s">
        <v>272</v>
      </c>
      <c r="E508" t="s">
        <v>240</v>
      </c>
      <c r="F508" t="s">
        <v>11</v>
      </c>
      <c r="G508" t="s">
        <v>225</v>
      </c>
      <c r="H508">
        <v>2</v>
      </c>
      <c r="I508" t="s">
        <v>23</v>
      </c>
      <c r="J508" t="s">
        <v>38</v>
      </c>
      <c r="K508" s="2">
        <v>1.0649999999999999</v>
      </c>
      <c r="L508">
        <v>24</v>
      </c>
      <c r="M508" t="s">
        <v>16</v>
      </c>
      <c r="N508" t="s">
        <v>33</v>
      </c>
      <c r="O508" s="3">
        <v>36824</v>
      </c>
      <c r="P508" s="3">
        <v>44419</v>
      </c>
      <c r="Q508" s="1">
        <v>0.31658219178082181</v>
      </c>
      <c r="R508" s="7">
        <v>20.80821917808219</v>
      </c>
      <c r="S508">
        <v>70</v>
      </c>
      <c r="T508" s="2">
        <v>92.160753424657528</v>
      </c>
      <c r="U508" t="s">
        <v>21</v>
      </c>
    </row>
    <row r="509" spans="1:21" hidden="1" x14ac:dyDescent="0.25">
      <c r="A509" t="s">
        <v>111</v>
      </c>
      <c r="B509">
        <v>34.977739</v>
      </c>
      <c r="C509">
        <v>-95.793492000000001</v>
      </c>
      <c r="D509" t="s">
        <v>272</v>
      </c>
      <c r="E509" t="s">
        <v>240</v>
      </c>
      <c r="F509" t="s">
        <v>11</v>
      </c>
      <c r="G509" t="s">
        <v>223</v>
      </c>
      <c r="H509">
        <v>0</v>
      </c>
      <c r="I509" t="s">
        <v>15</v>
      </c>
      <c r="J509" t="s">
        <v>14</v>
      </c>
      <c r="K509" t="s">
        <v>15</v>
      </c>
      <c r="L509">
        <v>24</v>
      </c>
      <c r="M509" t="s">
        <v>33</v>
      </c>
      <c r="N509" t="s">
        <v>16</v>
      </c>
      <c r="O509" s="3">
        <v>35934</v>
      </c>
      <c r="P509" s="3">
        <v>44419</v>
      </c>
      <c r="Q509" s="1" t="s">
        <v>14</v>
      </c>
      <c r="R509" s="7">
        <v>23.246575342465754</v>
      </c>
      <c r="S509" t="s">
        <v>14</v>
      </c>
      <c r="T509" t="s">
        <v>14</v>
      </c>
      <c r="U509" t="s">
        <v>24</v>
      </c>
    </row>
    <row r="510" spans="1:21" hidden="1" x14ac:dyDescent="0.25">
      <c r="A510" t="s">
        <v>111</v>
      </c>
      <c r="B510">
        <v>34.977739</v>
      </c>
      <c r="C510">
        <v>-95.793492000000001</v>
      </c>
      <c r="D510" t="s">
        <v>272</v>
      </c>
      <c r="E510" t="s">
        <v>240</v>
      </c>
      <c r="F510" t="s">
        <v>11</v>
      </c>
      <c r="G510" t="s">
        <v>226</v>
      </c>
      <c r="H510">
        <v>0</v>
      </c>
      <c r="I510" t="s">
        <v>15</v>
      </c>
      <c r="J510" t="s">
        <v>14</v>
      </c>
      <c r="K510" t="s">
        <v>15</v>
      </c>
      <c r="L510">
        <v>16</v>
      </c>
      <c r="M510" t="s">
        <v>16</v>
      </c>
      <c r="N510" t="s">
        <v>17</v>
      </c>
      <c r="O510" s="3">
        <v>36822</v>
      </c>
      <c r="P510" s="3">
        <v>44419</v>
      </c>
      <c r="Q510" s="1" t="s">
        <v>14</v>
      </c>
      <c r="R510" s="7">
        <v>20.813698630136987</v>
      </c>
      <c r="S510" t="s">
        <v>14</v>
      </c>
      <c r="T510" t="s">
        <v>14</v>
      </c>
      <c r="U510" t="s">
        <v>27</v>
      </c>
    </row>
    <row r="511" spans="1:21" hidden="1" x14ac:dyDescent="0.25">
      <c r="A511" t="s">
        <v>112</v>
      </c>
      <c r="B511">
        <v>34.990225000000002</v>
      </c>
      <c r="C511">
        <v>-95.793439000000006</v>
      </c>
      <c r="D511" t="s">
        <v>272</v>
      </c>
      <c r="E511" t="s">
        <v>240</v>
      </c>
      <c r="F511" t="s">
        <v>11</v>
      </c>
      <c r="G511" t="s">
        <v>221</v>
      </c>
      <c r="H511">
        <v>0</v>
      </c>
      <c r="I511" t="s">
        <v>15</v>
      </c>
      <c r="J511" t="s">
        <v>14</v>
      </c>
      <c r="K511" t="s">
        <v>15</v>
      </c>
      <c r="L511">
        <v>22</v>
      </c>
      <c r="M511" t="s">
        <v>16</v>
      </c>
      <c r="N511" t="s">
        <v>31</v>
      </c>
      <c r="O511" s="3">
        <v>37629</v>
      </c>
      <c r="P511" s="3">
        <v>44419</v>
      </c>
      <c r="Q511" s="1" t="s">
        <v>14</v>
      </c>
      <c r="R511" s="7">
        <v>18.602739726027398</v>
      </c>
      <c r="S511" t="s">
        <v>14</v>
      </c>
      <c r="T511" t="s">
        <v>14</v>
      </c>
      <c r="U511" t="s">
        <v>13</v>
      </c>
    </row>
    <row r="512" spans="1:21" hidden="1" x14ac:dyDescent="0.25">
      <c r="A512" t="s">
        <v>112</v>
      </c>
      <c r="B512">
        <v>34.990225000000002</v>
      </c>
      <c r="C512">
        <v>-95.793439000000006</v>
      </c>
      <c r="D512" t="s">
        <v>272</v>
      </c>
      <c r="E512" t="s">
        <v>240</v>
      </c>
      <c r="F512" t="s">
        <v>11</v>
      </c>
      <c r="G512" t="s">
        <v>222</v>
      </c>
      <c r="H512">
        <v>0</v>
      </c>
      <c r="I512" t="s">
        <v>15</v>
      </c>
      <c r="J512" t="s">
        <v>14</v>
      </c>
      <c r="K512" t="s">
        <v>15</v>
      </c>
      <c r="L512">
        <v>26</v>
      </c>
      <c r="M512" t="s">
        <v>16</v>
      </c>
      <c r="N512" t="s">
        <v>16</v>
      </c>
      <c r="O512" s="3">
        <v>35934</v>
      </c>
      <c r="P512" s="3">
        <v>44419</v>
      </c>
      <c r="Q512" s="1" t="s">
        <v>14</v>
      </c>
      <c r="R512" s="7">
        <v>23.246575342465754</v>
      </c>
      <c r="S512" t="s">
        <v>14</v>
      </c>
      <c r="T512" t="s">
        <v>14</v>
      </c>
      <c r="U512" t="s">
        <v>24</v>
      </c>
    </row>
    <row r="513" spans="1:21" hidden="1" x14ac:dyDescent="0.25">
      <c r="A513" t="s">
        <v>112</v>
      </c>
      <c r="B513">
        <v>34.990225000000002</v>
      </c>
      <c r="C513">
        <v>-95.793439000000006</v>
      </c>
      <c r="D513" t="s">
        <v>272</v>
      </c>
      <c r="E513" t="s">
        <v>240</v>
      </c>
      <c r="F513" t="s">
        <v>11</v>
      </c>
      <c r="G513" t="s">
        <v>224</v>
      </c>
      <c r="H513">
        <v>0</v>
      </c>
      <c r="I513" t="s">
        <v>15</v>
      </c>
      <c r="J513" t="s">
        <v>14</v>
      </c>
      <c r="K513" t="s">
        <v>15</v>
      </c>
      <c r="L513">
        <v>21</v>
      </c>
      <c r="M513" t="s">
        <v>16</v>
      </c>
      <c r="N513" t="s">
        <v>17</v>
      </c>
      <c r="O513" s="3">
        <v>36822</v>
      </c>
      <c r="P513" s="3">
        <v>44419</v>
      </c>
      <c r="Q513" s="1" t="s">
        <v>14</v>
      </c>
      <c r="R513" s="7">
        <v>20.813698630136987</v>
      </c>
      <c r="S513" t="s">
        <v>14</v>
      </c>
      <c r="T513" t="s">
        <v>14</v>
      </c>
      <c r="U513" t="s">
        <v>19</v>
      </c>
    </row>
    <row r="514" spans="1:21" hidden="1" x14ac:dyDescent="0.25">
      <c r="A514" t="s">
        <v>112</v>
      </c>
      <c r="B514">
        <v>34.990225000000002</v>
      </c>
      <c r="C514">
        <v>-95.793439000000006</v>
      </c>
      <c r="D514" t="s">
        <v>272</v>
      </c>
      <c r="E514" t="s">
        <v>240</v>
      </c>
      <c r="F514" t="s">
        <v>11</v>
      </c>
      <c r="G514" t="s">
        <v>225</v>
      </c>
      <c r="H514">
        <v>3</v>
      </c>
      <c r="I514" t="s">
        <v>23</v>
      </c>
      <c r="J514" t="s">
        <v>22</v>
      </c>
      <c r="K514" s="2">
        <v>1.746</v>
      </c>
      <c r="L514">
        <v>28</v>
      </c>
      <c r="M514" t="s">
        <v>16</v>
      </c>
      <c r="N514" t="s">
        <v>31</v>
      </c>
      <c r="O514" s="3">
        <v>36824</v>
      </c>
      <c r="P514" s="3">
        <v>44271</v>
      </c>
      <c r="Q514" s="1">
        <v>0.47497578082191771</v>
      </c>
      <c r="R514" s="7">
        <v>20.402739726027399</v>
      </c>
      <c r="S514">
        <v>75</v>
      </c>
      <c r="T514" s="2">
        <v>110.62318356164383</v>
      </c>
      <c r="U514" t="s">
        <v>21</v>
      </c>
    </row>
    <row r="515" spans="1:21" hidden="1" x14ac:dyDescent="0.25">
      <c r="A515" t="s">
        <v>112</v>
      </c>
      <c r="B515">
        <v>34.990225000000002</v>
      </c>
      <c r="C515">
        <v>-95.793439000000006</v>
      </c>
      <c r="D515" t="s">
        <v>272</v>
      </c>
      <c r="E515" t="s">
        <v>240</v>
      </c>
      <c r="F515" t="s">
        <v>11</v>
      </c>
      <c r="G515" t="s">
        <v>223</v>
      </c>
      <c r="H515">
        <v>0</v>
      </c>
      <c r="I515" t="s">
        <v>15</v>
      </c>
      <c r="J515" t="s">
        <v>14</v>
      </c>
      <c r="K515" t="s">
        <v>15</v>
      </c>
      <c r="L515">
        <v>24</v>
      </c>
      <c r="M515" t="s">
        <v>16</v>
      </c>
      <c r="N515" t="s">
        <v>17</v>
      </c>
      <c r="O515" s="3">
        <v>35934</v>
      </c>
      <c r="P515" s="3">
        <v>44419</v>
      </c>
      <c r="Q515" s="1" t="s">
        <v>14</v>
      </c>
      <c r="R515" s="7">
        <v>23.246575342465754</v>
      </c>
      <c r="S515" t="s">
        <v>14</v>
      </c>
      <c r="T515" t="s">
        <v>14</v>
      </c>
      <c r="U515" t="s">
        <v>24</v>
      </c>
    </row>
    <row r="516" spans="1:21" hidden="1" x14ac:dyDescent="0.25">
      <c r="A516" t="s">
        <v>112</v>
      </c>
      <c r="B516">
        <v>34.990225000000002</v>
      </c>
      <c r="C516">
        <v>-95.793439000000006</v>
      </c>
      <c r="D516" t="s">
        <v>272</v>
      </c>
      <c r="E516" t="s">
        <v>240</v>
      </c>
      <c r="F516" t="s">
        <v>11</v>
      </c>
      <c r="G516" t="s">
        <v>226</v>
      </c>
      <c r="H516">
        <v>0</v>
      </c>
      <c r="I516" t="s">
        <v>15</v>
      </c>
      <c r="J516" t="s">
        <v>14</v>
      </c>
      <c r="K516" t="s">
        <v>15</v>
      </c>
      <c r="L516">
        <v>21</v>
      </c>
      <c r="M516" t="s">
        <v>16</v>
      </c>
      <c r="N516" t="s">
        <v>17</v>
      </c>
      <c r="O516" s="3">
        <v>36822</v>
      </c>
      <c r="P516" s="3">
        <v>44419</v>
      </c>
      <c r="Q516" s="1" t="s">
        <v>14</v>
      </c>
      <c r="R516" s="7">
        <v>20.813698630136987</v>
      </c>
      <c r="S516" t="s">
        <v>14</v>
      </c>
      <c r="T516" t="s">
        <v>14</v>
      </c>
      <c r="U516" t="s">
        <v>27</v>
      </c>
    </row>
    <row r="517" spans="1:21" hidden="1" x14ac:dyDescent="0.25">
      <c r="A517" t="s">
        <v>113</v>
      </c>
      <c r="B517">
        <v>35.295763999999998</v>
      </c>
      <c r="C517">
        <v>-96.954877999999994</v>
      </c>
      <c r="D517" t="s">
        <v>281</v>
      </c>
      <c r="E517" t="s">
        <v>240</v>
      </c>
      <c r="F517" t="s">
        <v>11</v>
      </c>
      <c r="G517" t="s">
        <v>221</v>
      </c>
      <c r="H517">
        <v>0</v>
      </c>
      <c r="I517" t="s">
        <v>15</v>
      </c>
      <c r="J517" t="s">
        <v>14</v>
      </c>
      <c r="K517" t="s">
        <v>15</v>
      </c>
      <c r="L517">
        <v>15</v>
      </c>
      <c r="M517" t="s">
        <v>16</v>
      </c>
      <c r="N517" t="s">
        <v>17</v>
      </c>
      <c r="O517" s="3">
        <v>37958</v>
      </c>
      <c r="P517" s="3">
        <v>43306</v>
      </c>
      <c r="Q517" s="1" t="s">
        <v>14</v>
      </c>
      <c r="R517" s="7">
        <v>14.652054794520549</v>
      </c>
      <c r="S517" t="s">
        <v>14</v>
      </c>
      <c r="T517" t="s">
        <v>14</v>
      </c>
      <c r="U517" t="s">
        <v>13</v>
      </c>
    </row>
    <row r="518" spans="1:21" hidden="1" x14ac:dyDescent="0.25">
      <c r="A518" t="s">
        <v>113</v>
      </c>
      <c r="B518">
        <v>35.295763999999998</v>
      </c>
      <c r="C518">
        <v>-96.954877999999994</v>
      </c>
      <c r="D518" t="s">
        <v>281</v>
      </c>
      <c r="E518" t="s">
        <v>240</v>
      </c>
      <c r="F518" t="s">
        <v>11</v>
      </c>
      <c r="G518" t="s">
        <v>222</v>
      </c>
      <c r="H518">
        <v>0</v>
      </c>
      <c r="I518" t="s">
        <v>15</v>
      </c>
      <c r="J518" t="s">
        <v>14</v>
      </c>
      <c r="K518" t="s">
        <v>15</v>
      </c>
      <c r="L518">
        <v>24</v>
      </c>
      <c r="M518" t="s">
        <v>16</v>
      </c>
      <c r="N518" t="s">
        <v>17</v>
      </c>
      <c r="O518" s="3">
        <v>35928</v>
      </c>
      <c r="P518" s="3">
        <v>43306</v>
      </c>
      <c r="Q518" s="1" t="s">
        <v>14</v>
      </c>
      <c r="R518" s="7">
        <v>20.213698630136985</v>
      </c>
      <c r="S518" t="s">
        <v>14</v>
      </c>
      <c r="T518" t="s">
        <v>14</v>
      </c>
      <c r="U518" t="s">
        <v>24</v>
      </c>
    </row>
    <row r="519" spans="1:21" hidden="1" x14ac:dyDescent="0.25">
      <c r="A519" t="s">
        <v>113</v>
      </c>
      <c r="B519">
        <v>35.295763999999998</v>
      </c>
      <c r="C519">
        <v>-96.954877999999994</v>
      </c>
      <c r="D519" t="s">
        <v>281</v>
      </c>
      <c r="E519" t="s">
        <v>240</v>
      </c>
      <c r="F519" t="s">
        <v>11</v>
      </c>
      <c r="G519" t="s">
        <v>224</v>
      </c>
      <c r="H519">
        <v>99</v>
      </c>
      <c r="I519" t="s">
        <v>15</v>
      </c>
      <c r="J519" t="s">
        <v>186</v>
      </c>
      <c r="K519" t="s">
        <v>15</v>
      </c>
      <c r="L519">
        <v>12</v>
      </c>
      <c r="M519" t="s">
        <v>16</v>
      </c>
      <c r="N519" t="s">
        <v>17</v>
      </c>
      <c r="O519" s="3" t="s">
        <v>186</v>
      </c>
      <c r="P519" s="3" t="s">
        <v>186</v>
      </c>
      <c r="Q519" s="1" t="s">
        <v>186</v>
      </c>
      <c r="R519" s="7" t="s">
        <v>186</v>
      </c>
      <c r="S519" t="s">
        <v>186</v>
      </c>
      <c r="T519" t="s">
        <v>186</v>
      </c>
      <c r="U519" t="s">
        <v>19</v>
      </c>
    </row>
    <row r="520" spans="1:21" hidden="1" x14ac:dyDescent="0.25">
      <c r="A520" t="s">
        <v>113</v>
      </c>
      <c r="B520">
        <v>35.295763999999998</v>
      </c>
      <c r="C520">
        <v>-96.954877999999994</v>
      </c>
      <c r="D520" t="s">
        <v>281</v>
      </c>
      <c r="E520" t="s">
        <v>240</v>
      </c>
      <c r="F520" t="s">
        <v>11</v>
      </c>
      <c r="G520" t="s">
        <v>225</v>
      </c>
      <c r="H520">
        <v>0</v>
      </c>
      <c r="I520" t="s">
        <v>15</v>
      </c>
      <c r="J520" t="s">
        <v>14</v>
      </c>
      <c r="K520" s="2" t="s">
        <v>15</v>
      </c>
      <c r="L520">
        <v>25</v>
      </c>
      <c r="M520" t="s">
        <v>16</v>
      </c>
      <c r="N520" t="s">
        <v>17</v>
      </c>
      <c r="O520" s="3">
        <v>35928</v>
      </c>
      <c r="P520" s="3">
        <v>43215</v>
      </c>
      <c r="Q520" s="1" t="s">
        <v>14</v>
      </c>
      <c r="R520" s="7">
        <v>19.964383561643835</v>
      </c>
      <c r="S520" t="s">
        <v>14</v>
      </c>
      <c r="T520" t="s">
        <v>14</v>
      </c>
      <c r="U520" t="s">
        <v>21</v>
      </c>
    </row>
    <row r="521" spans="1:21" hidden="1" x14ac:dyDescent="0.25">
      <c r="A521" t="s">
        <v>113</v>
      </c>
      <c r="B521">
        <v>35.295763999999998</v>
      </c>
      <c r="C521">
        <v>-96.954877999999994</v>
      </c>
      <c r="D521" t="s">
        <v>281</v>
      </c>
      <c r="E521" t="s">
        <v>240</v>
      </c>
      <c r="F521" t="s">
        <v>11</v>
      </c>
      <c r="G521" t="s">
        <v>223</v>
      </c>
      <c r="H521">
        <v>-3</v>
      </c>
      <c r="I521" t="s">
        <v>29</v>
      </c>
      <c r="J521" s="4" t="s">
        <v>32</v>
      </c>
      <c r="K521">
        <v>-4.446E-2</v>
      </c>
      <c r="L521">
        <v>23</v>
      </c>
      <c r="M521" t="s">
        <v>16</v>
      </c>
      <c r="N521" t="s">
        <v>31</v>
      </c>
      <c r="O521" s="3">
        <v>35928</v>
      </c>
      <c r="P521" s="3">
        <v>43342</v>
      </c>
      <c r="Q521" s="1">
        <v>-6.228180255077941</v>
      </c>
      <c r="R521" s="7">
        <v>20.312328767123287</v>
      </c>
      <c r="S521">
        <v>0.14499999999999999</v>
      </c>
      <c r="T521" s="2">
        <v>-0.75808613698630134</v>
      </c>
      <c r="U521" t="s">
        <v>24</v>
      </c>
    </row>
    <row r="522" spans="1:21" hidden="1" x14ac:dyDescent="0.25">
      <c r="A522" t="s">
        <v>113</v>
      </c>
      <c r="B522">
        <v>35.295763999999998</v>
      </c>
      <c r="C522">
        <v>-96.954877999999994</v>
      </c>
      <c r="D522" t="s">
        <v>281</v>
      </c>
      <c r="E522" t="s">
        <v>240</v>
      </c>
      <c r="F522" t="s">
        <v>11</v>
      </c>
      <c r="G522" t="s">
        <v>226</v>
      </c>
      <c r="H522">
        <v>99</v>
      </c>
      <c r="I522" t="s">
        <v>15</v>
      </c>
      <c r="J522" t="s">
        <v>186</v>
      </c>
      <c r="K522" t="s">
        <v>15</v>
      </c>
      <c r="L522">
        <v>12</v>
      </c>
      <c r="M522" t="s">
        <v>16</v>
      </c>
      <c r="N522" t="s">
        <v>17</v>
      </c>
      <c r="O522" s="3" t="s">
        <v>186</v>
      </c>
      <c r="P522" s="3" t="s">
        <v>186</v>
      </c>
      <c r="Q522" s="1" t="s">
        <v>186</v>
      </c>
      <c r="R522" s="7" t="s">
        <v>186</v>
      </c>
      <c r="S522" t="s">
        <v>186</v>
      </c>
      <c r="T522" t="s">
        <v>186</v>
      </c>
      <c r="U522" t="s">
        <v>27</v>
      </c>
    </row>
    <row r="523" spans="1:21" hidden="1" x14ac:dyDescent="0.25">
      <c r="A523" t="s">
        <v>114</v>
      </c>
      <c r="B523">
        <v>35.600017000000001</v>
      </c>
      <c r="C523">
        <v>-95.044628000000003</v>
      </c>
      <c r="D523" t="s">
        <v>279</v>
      </c>
      <c r="E523" t="s">
        <v>240</v>
      </c>
      <c r="F523" t="s">
        <v>11</v>
      </c>
      <c r="G523" t="s">
        <v>221</v>
      </c>
      <c r="H523">
        <v>1</v>
      </c>
      <c r="I523" t="s">
        <v>23</v>
      </c>
      <c r="J523" s="5" t="s">
        <v>40</v>
      </c>
      <c r="K523">
        <v>0.1789</v>
      </c>
      <c r="L523">
        <v>60</v>
      </c>
      <c r="M523" t="s">
        <v>33</v>
      </c>
      <c r="N523" t="s">
        <v>17</v>
      </c>
      <c r="O523" s="3">
        <v>36439</v>
      </c>
      <c r="P523" s="3">
        <v>44831</v>
      </c>
      <c r="Q523" s="1">
        <v>0.48390936341659946</v>
      </c>
      <c r="R523" s="7">
        <v>22.991780821917807</v>
      </c>
      <c r="S523">
        <v>8.5</v>
      </c>
      <c r="T523" s="2">
        <v>12.613229589041095</v>
      </c>
      <c r="U523" t="s">
        <v>13</v>
      </c>
    </row>
    <row r="524" spans="1:21" hidden="1" x14ac:dyDescent="0.25">
      <c r="A524" t="s">
        <v>114</v>
      </c>
      <c r="B524">
        <v>35.600017000000001</v>
      </c>
      <c r="C524">
        <v>-95.044628000000003</v>
      </c>
      <c r="D524" t="s">
        <v>279</v>
      </c>
      <c r="E524" t="s">
        <v>240</v>
      </c>
      <c r="F524" t="s">
        <v>11</v>
      </c>
      <c r="G524" t="s">
        <v>222</v>
      </c>
      <c r="H524">
        <v>0</v>
      </c>
      <c r="I524" t="s">
        <v>15</v>
      </c>
      <c r="J524" t="s">
        <v>14</v>
      </c>
      <c r="K524" t="s">
        <v>15</v>
      </c>
      <c r="L524">
        <v>39</v>
      </c>
      <c r="M524" t="s">
        <v>17</v>
      </c>
      <c r="N524" t="s">
        <v>17</v>
      </c>
      <c r="O524" s="3">
        <v>36439</v>
      </c>
      <c r="P524" s="3">
        <v>44831</v>
      </c>
      <c r="Q524" s="1" t="s">
        <v>14</v>
      </c>
      <c r="R524" s="7">
        <v>22.991780821917807</v>
      </c>
      <c r="S524" t="s">
        <v>14</v>
      </c>
      <c r="T524" t="s">
        <v>14</v>
      </c>
      <c r="U524" t="s">
        <v>24</v>
      </c>
    </row>
    <row r="525" spans="1:21" hidden="1" x14ac:dyDescent="0.25">
      <c r="A525" t="s">
        <v>114</v>
      </c>
      <c r="B525">
        <v>35.600017000000001</v>
      </c>
      <c r="C525">
        <v>-95.044628000000003</v>
      </c>
      <c r="D525" t="s">
        <v>279</v>
      </c>
      <c r="E525" t="s">
        <v>240</v>
      </c>
      <c r="F525" t="s">
        <v>11</v>
      </c>
      <c r="G525" t="s">
        <v>224</v>
      </c>
      <c r="H525">
        <v>0</v>
      </c>
      <c r="I525" t="s">
        <v>15</v>
      </c>
      <c r="J525" t="s">
        <v>14</v>
      </c>
      <c r="K525" t="s">
        <v>15</v>
      </c>
      <c r="L525">
        <v>35</v>
      </c>
      <c r="M525" t="s">
        <v>17</v>
      </c>
      <c r="N525" t="s">
        <v>17</v>
      </c>
      <c r="O525" s="3">
        <v>36439</v>
      </c>
      <c r="P525" s="3">
        <v>44831</v>
      </c>
      <c r="Q525" s="1" t="s">
        <v>14</v>
      </c>
      <c r="R525" s="7">
        <v>22.991780821917807</v>
      </c>
      <c r="S525" t="s">
        <v>14</v>
      </c>
      <c r="T525" t="s">
        <v>14</v>
      </c>
      <c r="U525" t="s">
        <v>19</v>
      </c>
    </row>
    <row r="526" spans="1:21" hidden="1" x14ac:dyDescent="0.25">
      <c r="A526" t="s">
        <v>114</v>
      </c>
      <c r="B526">
        <v>35.600017000000001</v>
      </c>
      <c r="C526">
        <v>-95.044628000000003</v>
      </c>
      <c r="D526" t="s">
        <v>279</v>
      </c>
      <c r="E526" t="s">
        <v>240</v>
      </c>
      <c r="F526" t="s">
        <v>11</v>
      </c>
      <c r="G526" t="s">
        <v>225</v>
      </c>
      <c r="H526">
        <v>2</v>
      </c>
      <c r="I526" t="s">
        <v>23</v>
      </c>
      <c r="J526" t="s">
        <v>38</v>
      </c>
      <c r="K526" s="2">
        <v>1.0529999999999999</v>
      </c>
      <c r="L526">
        <v>39</v>
      </c>
      <c r="M526" t="s">
        <v>16</v>
      </c>
      <c r="N526" t="s">
        <v>17</v>
      </c>
      <c r="O526" s="3">
        <v>36439</v>
      </c>
      <c r="P526" s="3">
        <v>44831</v>
      </c>
      <c r="Q526" s="1">
        <v>0.14241379532634973</v>
      </c>
      <c r="R526" s="7">
        <v>22.991780821917807</v>
      </c>
      <c r="S526">
        <v>170</v>
      </c>
      <c r="T526" s="2">
        <v>194.21034520547946</v>
      </c>
      <c r="U526" t="s">
        <v>21</v>
      </c>
    </row>
    <row r="527" spans="1:21" hidden="1" x14ac:dyDescent="0.25">
      <c r="A527" t="s">
        <v>114</v>
      </c>
      <c r="B527">
        <v>35.600017000000001</v>
      </c>
      <c r="C527">
        <v>-95.044628000000003</v>
      </c>
      <c r="D527" t="s">
        <v>279</v>
      </c>
      <c r="E527" t="s">
        <v>240</v>
      </c>
      <c r="F527" t="s">
        <v>11</v>
      </c>
      <c r="G527" t="s">
        <v>223</v>
      </c>
      <c r="H527">
        <v>-3</v>
      </c>
      <c r="I527" t="s">
        <v>29</v>
      </c>
      <c r="J527" s="4" t="s">
        <v>32</v>
      </c>
      <c r="K527">
        <v>-1.06E-3</v>
      </c>
      <c r="L527">
        <v>36</v>
      </c>
      <c r="M527" t="s">
        <v>17</v>
      </c>
      <c r="N527" t="s">
        <v>16</v>
      </c>
      <c r="O527" s="3">
        <v>36439</v>
      </c>
      <c r="P527" s="3">
        <v>44872</v>
      </c>
      <c r="Q527" s="1">
        <v>-0.48980712328767118</v>
      </c>
      <c r="R527" s="7">
        <v>23.104109589041094</v>
      </c>
      <c r="S527">
        <v>0.05</v>
      </c>
      <c r="T527" s="2">
        <v>2.5509643835616443E-2</v>
      </c>
      <c r="U527" t="s">
        <v>24</v>
      </c>
    </row>
    <row r="528" spans="1:21" hidden="1" x14ac:dyDescent="0.25">
      <c r="A528" t="s">
        <v>114</v>
      </c>
      <c r="B528">
        <v>35.600017000000001</v>
      </c>
      <c r="C528">
        <v>-95.044628000000003</v>
      </c>
      <c r="D528" t="s">
        <v>279</v>
      </c>
      <c r="E528" t="s">
        <v>240</v>
      </c>
      <c r="F528" t="s">
        <v>11</v>
      </c>
      <c r="G528" t="s">
        <v>226</v>
      </c>
      <c r="H528">
        <v>0</v>
      </c>
      <c r="I528" t="s">
        <v>15</v>
      </c>
      <c r="J528" t="s">
        <v>14</v>
      </c>
      <c r="K528" t="s">
        <v>15</v>
      </c>
      <c r="L528">
        <v>39</v>
      </c>
      <c r="M528" t="s">
        <v>33</v>
      </c>
      <c r="N528" t="s">
        <v>17</v>
      </c>
      <c r="O528" s="3">
        <v>36439</v>
      </c>
      <c r="P528" s="3">
        <v>44831</v>
      </c>
      <c r="Q528" s="1" t="s">
        <v>14</v>
      </c>
      <c r="R528" s="7">
        <v>22.991780821917807</v>
      </c>
      <c r="S528" t="s">
        <v>14</v>
      </c>
      <c r="T528" t="s">
        <v>14</v>
      </c>
      <c r="U528" t="s">
        <v>27</v>
      </c>
    </row>
    <row r="529" spans="1:21" hidden="1" x14ac:dyDescent="0.25">
      <c r="A529" t="s">
        <v>115</v>
      </c>
      <c r="B529">
        <v>33.829968999999998</v>
      </c>
      <c r="C529">
        <v>-96.576756000000003</v>
      </c>
      <c r="D529" t="s">
        <v>283</v>
      </c>
      <c r="E529" t="s">
        <v>240</v>
      </c>
      <c r="F529" t="s">
        <v>11</v>
      </c>
      <c r="G529" t="s">
        <v>221</v>
      </c>
      <c r="H529">
        <v>3</v>
      </c>
      <c r="I529" t="s">
        <v>23</v>
      </c>
      <c r="J529" s="5" t="s">
        <v>22</v>
      </c>
      <c r="K529">
        <v>0.5806</v>
      </c>
      <c r="L529">
        <v>35</v>
      </c>
      <c r="M529" t="s">
        <v>17</v>
      </c>
      <c r="N529" t="s">
        <v>17</v>
      </c>
      <c r="O529" s="3">
        <v>37662</v>
      </c>
      <c r="P529" s="3">
        <v>44492</v>
      </c>
      <c r="Q529" s="1">
        <v>0.9053648401826484</v>
      </c>
      <c r="R529" s="7">
        <v>18.712328767123289</v>
      </c>
      <c r="S529">
        <v>12</v>
      </c>
      <c r="T529" s="2">
        <v>22.864378082191781</v>
      </c>
      <c r="U529" t="s">
        <v>13</v>
      </c>
    </row>
    <row r="530" spans="1:21" hidden="1" x14ac:dyDescent="0.25">
      <c r="A530" t="s">
        <v>115</v>
      </c>
      <c r="B530">
        <v>33.829968999999998</v>
      </c>
      <c r="C530">
        <v>-96.576756000000003</v>
      </c>
      <c r="D530" t="s">
        <v>283</v>
      </c>
      <c r="E530" t="s">
        <v>240</v>
      </c>
      <c r="F530" t="s">
        <v>11</v>
      </c>
      <c r="G530" t="s">
        <v>222</v>
      </c>
      <c r="H530">
        <v>1</v>
      </c>
      <c r="I530" t="s">
        <v>23</v>
      </c>
      <c r="J530" s="4" t="s">
        <v>40</v>
      </c>
      <c r="K530">
        <v>6.9490000000000003E-3</v>
      </c>
      <c r="L530">
        <v>33</v>
      </c>
      <c r="M530" t="s">
        <v>17</v>
      </c>
      <c r="N530" t="s">
        <v>16</v>
      </c>
      <c r="O530" s="3">
        <v>37557</v>
      </c>
      <c r="P530" s="3">
        <v>44493</v>
      </c>
      <c r="Q530" s="1">
        <v>0.18864291193737767</v>
      </c>
      <c r="R530" s="7">
        <v>19.002739726027396</v>
      </c>
      <c r="S530">
        <v>0.7</v>
      </c>
      <c r="T530" s="2">
        <v>0.83205003835616431</v>
      </c>
      <c r="U530" t="s">
        <v>24</v>
      </c>
    </row>
    <row r="531" spans="1:21" hidden="1" x14ac:dyDescent="0.25">
      <c r="A531" t="s">
        <v>115</v>
      </c>
      <c r="B531">
        <v>33.829968999999998</v>
      </c>
      <c r="C531">
        <v>-96.576756000000003</v>
      </c>
      <c r="D531" t="s">
        <v>283</v>
      </c>
      <c r="E531" t="s">
        <v>240</v>
      </c>
      <c r="F531" t="s">
        <v>11</v>
      </c>
      <c r="G531" t="s">
        <v>224</v>
      </c>
      <c r="H531">
        <v>0</v>
      </c>
      <c r="I531" t="s">
        <v>15</v>
      </c>
      <c r="J531" t="s">
        <v>14</v>
      </c>
      <c r="K531" t="s">
        <v>15</v>
      </c>
      <c r="L531">
        <v>29</v>
      </c>
      <c r="M531" t="s">
        <v>17</v>
      </c>
      <c r="N531" t="s">
        <v>17</v>
      </c>
      <c r="O531" s="3">
        <v>38320</v>
      </c>
      <c r="P531" s="3">
        <v>44459</v>
      </c>
      <c r="Q531" s="1" t="s">
        <v>14</v>
      </c>
      <c r="R531" s="7">
        <v>16.81917808219178</v>
      </c>
      <c r="S531" t="s">
        <v>14</v>
      </c>
      <c r="T531" t="s">
        <v>14</v>
      </c>
      <c r="U531" t="s">
        <v>19</v>
      </c>
    </row>
    <row r="532" spans="1:21" hidden="1" x14ac:dyDescent="0.25">
      <c r="A532" t="s">
        <v>115</v>
      </c>
      <c r="B532">
        <v>33.829968999999998</v>
      </c>
      <c r="C532">
        <v>-96.576756000000003</v>
      </c>
      <c r="D532" t="s">
        <v>283</v>
      </c>
      <c r="E532" t="s">
        <v>240</v>
      </c>
      <c r="F532" t="s">
        <v>11</v>
      </c>
      <c r="G532" t="s">
        <v>225</v>
      </c>
      <c r="H532">
        <v>99</v>
      </c>
      <c r="I532" t="s">
        <v>15</v>
      </c>
      <c r="J532" t="s">
        <v>186</v>
      </c>
      <c r="K532" t="s">
        <v>15</v>
      </c>
      <c r="L532">
        <v>16</v>
      </c>
      <c r="M532" t="s">
        <v>17</v>
      </c>
      <c r="N532" t="s">
        <v>16</v>
      </c>
      <c r="O532" s="3" t="s">
        <v>186</v>
      </c>
      <c r="P532" s="3" t="s">
        <v>186</v>
      </c>
      <c r="Q532" s="1" t="s">
        <v>186</v>
      </c>
      <c r="R532" s="7" t="s">
        <v>186</v>
      </c>
      <c r="S532" t="s">
        <v>186</v>
      </c>
      <c r="T532" t="s">
        <v>186</v>
      </c>
      <c r="U532" t="s">
        <v>21</v>
      </c>
    </row>
    <row r="533" spans="1:21" hidden="1" x14ac:dyDescent="0.25">
      <c r="A533" t="s">
        <v>115</v>
      </c>
      <c r="B533">
        <v>33.829968999999998</v>
      </c>
      <c r="C533">
        <v>-96.576756000000003</v>
      </c>
      <c r="D533" t="s">
        <v>283</v>
      </c>
      <c r="E533" t="s">
        <v>240</v>
      </c>
      <c r="F533" t="s">
        <v>11</v>
      </c>
      <c r="G533" t="s">
        <v>223</v>
      </c>
      <c r="H533">
        <v>0</v>
      </c>
      <c r="I533" t="s">
        <v>15</v>
      </c>
      <c r="J533" t="s">
        <v>14</v>
      </c>
      <c r="K533" t="s">
        <v>15</v>
      </c>
      <c r="L533">
        <v>33</v>
      </c>
      <c r="M533" t="s">
        <v>17</v>
      </c>
      <c r="N533" t="s">
        <v>31</v>
      </c>
      <c r="O533" s="3">
        <v>37557</v>
      </c>
      <c r="P533" s="3">
        <v>44459</v>
      </c>
      <c r="Q533" s="1" t="s">
        <v>14</v>
      </c>
      <c r="R533" s="7">
        <v>18.909589041095892</v>
      </c>
      <c r="S533" t="s">
        <v>14</v>
      </c>
      <c r="T533" t="s">
        <v>14</v>
      </c>
      <c r="U533" t="s">
        <v>24</v>
      </c>
    </row>
    <row r="534" spans="1:21" hidden="1" x14ac:dyDescent="0.25">
      <c r="A534" t="s">
        <v>115</v>
      </c>
      <c r="B534">
        <v>33.829968999999998</v>
      </c>
      <c r="C534">
        <v>-96.576756000000003</v>
      </c>
      <c r="D534" t="s">
        <v>283</v>
      </c>
      <c r="E534" t="s">
        <v>240</v>
      </c>
      <c r="F534" t="s">
        <v>11</v>
      </c>
      <c r="G534" t="s">
        <v>226</v>
      </c>
      <c r="H534">
        <v>0</v>
      </c>
      <c r="I534" t="s">
        <v>15</v>
      </c>
      <c r="J534" t="s">
        <v>14</v>
      </c>
      <c r="K534" t="s">
        <v>15</v>
      </c>
      <c r="L534">
        <v>24</v>
      </c>
      <c r="M534" t="s">
        <v>17</v>
      </c>
      <c r="N534" t="s">
        <v>17</v>
      </c>
      <c r="O534" s="3">
        <v>38320</v>
      </c>
      <c r="P534" s="3">
        <v>44459</v>
      </c>
      <c r="Q534" s="1" t="s">
        <v>14</v>
      </c>
      <c r="R534" s="7">
        <v>16.81917808219178</v>
      </c>
      <c r="S534" t="s">
        <v>14</v>
      </c>
      <c r="T534" t="s">
        <v>14</v>
      </c>
      <c r="U534" t="s">
        <v>27</v>
      </c>
    </row>
    <row r="535" spans="1:21" x14ac:dyDescent="0.25">
      <c r="A535" t="s">
        <v>116</v>
      </c>
      <c r="B535">
        <v>35.223332999999997</v>
      </c>
      <c r="C535">
        <v>-97.220832999999999</v>
      </c>
      <c r="D535" t="s">
        <v>282</v>
      </c>
      <c r="E535" t="s">
        <v>240</v>
      </c>
      <c r="F535" t="s">
        <v>11</v>
      </c>
      <c r="G535" t="s">
        <v>221</v>
      </c>
      <c r="H535">
        <v>3</v>
      </c>
      <c r="I535" t="s">
        <v>23</v>
      </c>
      <c r="J535" s="5" t="s">
        <v>22</v>
      </c>
      <c r="K535">
        <v>0.64900000000000002</v>
      </c>
      <c r="L535">
        <v>279</v>
      </c>
      <c r="O535" s="3">
        <v>36643</v>
      </c>
      <c r="P535" s="3">
        <v>44860</v>
      </c>
      <c r="Q535" s="1">
        <v>1.1688401095890411</v>
      </c>
      <c r="R535" s="7">
        <v>22.512328767123286</v>
      </c>
      <c r="S535">
        <v>12.5</v>
      </c>
      <c r="T535" s="2">
        <v>27.110501369863012</v>
      </c>
      <c r="U535" t="s">
        <v>13</v>
      </c>
    </row>
    <row r="536" spans="1:21" x14ac:dyDescent="0.25">
      <c r="A536" t="s">
        <v>116</v>
      </c>
      <c r="B536">
        <v>35.223332999999997</v>
      </c>
      <c r="C536">
        <v>-97.220832999999999</v>
      </c>
      <c r="D536" t="s">
        <v>282</v>
      </c>
      <c r="E536" t="s">
        <v>240</v>
      </c>
      <c r="F536" t="s">
        <v>11</v>
      </c>
      <c r="G536" t="s">
        <v>222</v>
      </c>
      <c r="H536">
        <v>3</v>
      </c>
      <c r="I536" t="s">
        <v>23</v>
      </c>
      <c r="J536" s="4" t="s">
        <v>22</v>
      </c>
      <c r="K536">
        <v>1.044E-2</v>
      </c>
      <c r="L536">
        <v>233</v>
      </c>
      <c r="O536" s="3">
        <v>35970</v>
      </c>
      <c r="P536" s="3">
        <v>44860</v>
      </c>
      <c r="Q536" s="1">
        <v>0.31784794520547943</v>
      </c>
      <c r="R536" s="7">
        <v>24.356164383561644</v>
      </c>
      <c r="S536">
        <v>0.8</v>
      </c>
      <c r="T536" s="2">
        <v>1.0542783561643836</v>
      </c>
      <c r="U536" t="s">
        <v>24</v>
      </c>
    </row>
    <row r="537" spans="1:21" x14ac:dyDescent="0.25">
      <c r="A537" t="s">
        <v>116</v>
      </c>
      <c r="B537">
        <v>35.223332999999997</v>
      </c>
      <c r="C537">
        <v>-97.220832999999999</v>
      </c>
      <c r="D537" t="s">
        <v>282</v>
      </c>
      <c r="E537" t="s">
        <v>240</v>
      </c>
      <c r="F537" t="s">
        <v>11</v>
      </c>
      <c r="G537" t="s">
        <v>224</v>
      </c>
      <c r="H537">
        <v>-3</v>
      </c>
      <c r="I537" t="s">
        <v>29</v>
      </c>
      <c r="J537" s="4" t="s">
        <v>32</v>
      </c>
      <c r="K537">
        <v>-0.68400000000000005</v>
      </c>
      <c r="L537">
        <v>285</v>
      </c>
      <c r="O537" s="3">
        <v>36643</v>
      </c>
      <c r="P537" s="3">
        <v>44860</v>
      </c>
      <c r="Q537" s="1">
        <v>-0.25664054794520547</v>
      </c>
      <c r="R537" s="7">
        <v>22.512328767123286</v>
      </c>
      <c r="S537">
        <v>60</v>
      </c>
      <c r="T537" s="2">
        <v>44.601567123287673</v>
      </c>
      <c r="U537" t="s">
        <v>19</v>
      </c>
    </row>
    <row r="538" spans="1:21" x14ac:dyDescent="0.25">
      <c r="A538" t="s">
        <v>116</v>
      </c>
      <c r="B538">
        <v>35.223332999999997</v>
      </c>
      <c r="C538">
        <v>-97.220832999999999</v>
      </c>
      <c r="D538" t="s">
        <v>282</v>
      </c>
      <c r="E538" t="s">
        <v>240</v>
      </c>
      <c r="F538" t="s">
        <v>11</v>
      </c>
      <c r="G538" t="s">
        <v>225</v>
      </c>
      <c r="H538">
        <v>3</v>
      </c>
      <c r="I538" t="s">
        <v>23</v>
      </c>
      <c r="J538" t="s">
        <v>22</v>
      </c>
      <c r="K538" s="2">
        <v>3.03</v>
      </c>
      <c r="L538">
        <v>303</v>
      </c>
      <c r="M538" t="s">
        <v>17</v>
      </c>
      <c r="N538" t="s">
        <v>17</v>
      </c>
      <c r="O538" s="3">
        <v>36643</v>
      </c>
      <c r="P538" s="3">
        <v>44874</v>
      </c>
      <c r="Q538" s="1">
        <v>0.18980159817351594</v>
      </c>
      <c r="R538" s="7">
        <v>22.550684931506851</v>
      </c>
      <c r="S538">
        <v>360</v>
      </c>
      <c r="T538" s="2">
        <v>428.32857534246574</v>
      </c>
      <c r="U538" t="s">
        <v>21</v>
      </c>
    </row>
    <row r="539" spans="1:21" x14ac:dyDescent="0.25">
      <c r="A539" t="s">
        <v>116</v>
      </c>
      <c r="B539">
        <v>35.223332999999997</v>
      </c>
      <c r="C539">
        <v>-97.220832999999999</v>
      </c>
      <c r="D539" t="s">
        <v>282</v>
      </c>
      <c r="E539" t="s">
        <v>240</v>
      </c>
      <c r="F539" t="s">
        <v>11</v>
      </c>
      <c r="G539" t="s">
        <v>223</v>
      </c>
      <c r="H539">
        <v>3</v>
      </c>
      <c r="I539" t="s">
        <v>23</v>
      </c>
      <c r="J539" s="4" t="s">
        <v>22</v>
      </c>
      <c r="K539">
        <v>1.3519999999999999E-3</v>
      </c>
      <c r="L539">
        <v>230</v>
      </c>
      <c r="O539" s="3">
        <v>35970</v>
      </c>
      <c r="P539" s="3">
        <v>44860</v>
      </c>
      <c r="Q539" s="1">
        <v>0.82323835616438334</v>
      </c>
      <c r="R539" s="7">
        <v>24.356164383561644</v>
      </c>
      <c r="S539">
        <v>0.04</v>
      </c>
      <c r="T539" s="2">
        <v>7.2929534246575334E-2</v>
      </c>
      <c r="U539" t="s">
        <v>24</v>
      </c>
    </row>
    <row r="540" spans="1:21" x14ac:dyDescent="0.25">
      <c r="A540" t="s">
        <v>116</v>
      </c>
      <c r="B540">
        <v>35.223332999999997</v>
      </c>
      <c r="C540">
        <v>-97.220832999999999</v>
      </c>
      <c r="D540" t="s">
        <v>282</v>
      </c>
      <c r="E540" t="s">
        <v>240</v>
      </c>
      <c r="F540" t="s">
        <v>11</v>
      </c>
      <c r="G540" t="s">
        <v>226</v>
      </c>
      <c r="H540">
        <v>3</v>
      </c>
      <c r="I540" t="s">
        <v>23</v>
      </c>
      <c r="J540" s="4" t="s">
        <v>22</v>
      </c>
      <c r="K540">
        <v>0.24030000000000001</v>
      </c>
      <c r="L540">
        <v>283</v>
      </c>
      <c r="O540" s="3">
        <v>36643</v>
      </c>
      <c r="P540" s="3">
        <v>44860</v>
      </c>
      <c r="Q540" s="1">
        <v>0.30053958904109579</v>
      </c>
      <c r="R540" s="7">
        <v>22.512328767123286</v>
      </c>
      <c r="S540">
        <v>18</v>
      </c>
      <c r="T540" s="2">
        <v>23.409712602739724</v>
      </c>
      <c r="U540" t="s">
        <v>27</v>
      </c>
    </row>
    <row r="541" spans="1:21" hidden="1" x14ac:dyDescent="0.25">
      <c r="A541" t="s">
        <v>117</v>
      </c>
      <c r="B541">
        <v>34.749952999999998</v>
      </c>
      <c r="C541">
        <v>-98.968383000000003</v>
      </c>
      <c r="D541" t="s">
        <v>284</v>
      </c>
      <c r="E541" t="s">
        <v>240</v>
      </c>
      <c r="F541" t="s">
        <v>11</v>
      </c>
      <c r="G541" t="s">
        <v>221</v>
      </c>
      <c r="H541">
        <v>3</v>
      </c>
      <c r="I541" t="s">
        <v>23</v>
      </c>
      <c r="J541" s="4" t="s">
        <v>22</v>
      </c>
      <c r="K541">
        <v>0.42849999999999999</v>
      </c>
      <c r="L541">
        <v>29</v>
      </c>
      <c r="M541" t="s">
        <v>16</v>
      </c>
      <c r="N541" t="s">
        <v>17</v>
      </c>
      <c r="O541" s="3">
        <v>37621</v>
      </c>
      <c r="P541" s="3">
        <v>44107</v>
      </c>
      <c r="Q541" s="1">
        <v>1.0877694716242661</v>
      </c>
      <c r="R541" s="7">
        <v>17.769863013698629</v>
      </c>
      <c r="S541">
        <v>7</v>
      </c>
      <c r="T541" s="2">
        <v>14.614386301369862</v>
      </c>
      <c r="U541" t="s">
        <v>13</v>
      </c>
    </row>
    <row r="542" spans="1:21" hidden="1" x14ac:dyDescent="0.25">
      <c r="A542" t="s">
        <v>117</v>
      </c>
      <c r="B542">
        <v>34.749952999999998</v>
      </c>
      <c r="C542">
        <v>-98.968383000000003</v>
      </c>
      <c r="D542" t="s">
        <v>284</v>
      </c>
      <c r="E542" t="s">
        <v>240</v>
      </c>
      <c r="F542" t="s">
        <v>11</v>
      </c>
      <c r="G542" t="s">
        <v>222</v>
      </c>
      <c r="H542">
        <v>3</v>
      </c>
      <c r="I542" t="s">
        <v>23</v>
      </c>
      <c r="J542" s="4" t="s">
        <v>22</v>
      </c>
      <c r="K542">
        <v>1.8290000000000001E-2</v>
      </c>
      <c r="L542">
        <v>34</v>
      </c>
      <c r="M542" t="s">
        <v>16</v>
      </c>
      <c r="N542" t="s">
        <v>17</v>
      </c>
      <c r="O542" s="3">
        <v>36446</v>
      </c>
      <c r="P542" s="3">
        <v>44075</v>
      </c>
      <c r="Q542" s="1">
        <v>0.7645721095890412</v>
      </c>
      <c r="R542" s="7">
        <v>20.901369863013699</v>
      </c>
      <c r="S542">
        <v>0.5</v>
      </c>
      <c r="T542" s="2">
        <v>0.8822860547945206</v>
      </c>
      <c r="U542" t="s">
        <v>24</v>
      </c>
    </row>
    <row r="543" spans="1:21" hidden="1" x14ac:dyDescent="0.25">
      <c r="A543" t="s">
        <v>117</v>
      </c>
      <c r="B543">
        <v>34.749952999999998</v>
      </c>
      <c r="C543">
        <v>-98.968383000000003</v>
      </c>
      <c r="D543" t="s">
        <v>284</v>
      </c>
      <c r="E543" t="s">
        <v>240</v>
      </c>
      <c r="F543" t="s">
        <v>11</v>
      </c>
      <c r="G543" t="s">
        <v>224</v>
      </c>
      <c r="H543">
        <v>0</v>
      </c>
      <c r="I543" t="s">
        <v>15</v>
      </c>
      <c r="J543" t="s">
        <v>14</v>
      </c>
      <c r="K543" t="s">
        <v>15</v>
      </c>
      <c r="L543">
        <v>23</v>
      </c>
      <c r="M543" t="s">
        <v>16</v>
      </c>
      <c r="N543" t="s">
        <v>17</v>
      </c>
      <c r="O543" s="3">
        <v>38238</v>
      </c>
      <c r="P543" s="3">
        <v>44075</v>
      </c>
      <c r="Q543" s="1" t="s">
        <v>14</v>
      </c>
      <c r="R543" s="7">
        <v>15.991780821917809</v>
      </c>
      <c r="S543" t="s">
        <v>14</v>
      </c>
      <c r="T543" t="s">
        <v>14</v>
      </c>
      <c r="U543" t="s">
        <v>19</v>
      </c>
    </row>
    <row r="544" spans="1:21" hidden="1" x14ac:dyDescent="0.25">
      <c r="A544" t="s">
        <v>117</v>
      </c>
      <c r="B544">
        <v>34.749952999999998</v>
      </c>
      <c r="C544">
        <v>-98.968383000000003</v>
      </c>
      <c r="D544" t="s">
        <v>284</v>
      </c>
      <c r="E544" t="s">
        <v>240</v>
      </c>
      <c r="F544" t="s">
        <v>11</v>
      </c>
      <c r="G544" t="s">
        <v>225</v>
      </c>
      <c r="H544">
        <v>3</v>
      </c>
      <c r="I544" t="s">
        <v>23</v>
      </c>
      <c r="J544" t="s">
        <v>22</v>
      </c>
      <c r="K544" s="2">
        <v>18.62</v>
      </c>
      <c r="L544">
        <v>38</v>
      </c>
      <c r="M544" t="s">
        <v>16</v>
      </c>
      <c r="N544" t="s">
        <v>17</v>
      </c>
      <c r="O544" s="3">
        <v>36445</v>
      </c>
      <c r="P544" s="3">
        <v>45215</v>
      </c>
      <c r="Q544" s="1">
        <v>0.6213751902587521</v>
      </c>
      <c r="R544" s="7">
        <v>24.027397260273972</v>
      </c>
      <c r="S544">
        <v>720</v>
      </c>
      <c r="T544" s="2">
        <v>1167.3901369863015</v>
      </c>
      <c r="U544" t="s">
        <v>21</v>
      </c>
    </row>
    <row r="545" spans="1:21" hidden="1" x14ac:dyDescent="0.25">
      <c r="A545" t="s">
        <v>117</v>
      </c>
      <c r="B545">
        <v>34.749952999999998</v>
      </c>
      <c r="C545">
        <v>-98.968383000000003</v>
      </c>
      <c r="D545" t="s">
        <v>284</v>
      </c>
      <c r="E545" t="s">
        <v>240</v>
      </c>
      <c r="F545" t="s">
        <v>11</v>
      </c>
      <c r="G545" t="s">
        <v>223</v>
      </c>
      <c r="H545">
        <v>0</v>
      </c>
      <c r="I545" t="s">
        <v>15</v>
      </c>
      <c r="J545" t="s">
        <v>14</v>
      </c>
      <c r="K545" t="s">
        <v>15</v>
      </c>
      <c r="L545">
        <v>34</v>
      </c>
      <c r="M545" t="s">
        <v>16</v>
      </c>
      <c r="N545" t="s">
        <v>17</v>
      </c>
      <c r="O545" s="3">
        <v>36446</v>
      </c>
      <c r="P545" s="3">
        <v>44075</v>
      </c>
      <c r="Q545" s="1" t="s">
        <v>14</v>
      </c>
      <c r="R545" s="7">
        <v>20.901369863013699</v>
      </c>
      <c r="S545" t="s">
        <v>14</v>
      </c>
      <c r="T545" t="s">
        <v>14</v>
      </c>
      <c r="U545" t="s">
        <v>24</v>
      </c>
    </row>
    <row r="546" spans="1:21" hidden="1" x14ac:dyDescent="0.25">
      <c r="A546" t="s">
        <v>117</v>
      </c>
      <c r="B546">
        <v>34.749952999999998</v>
      </c>
      <c r="C546">
        <v>-98.968383000000003</v>
      </c>
      <c r="D546" t="s">
        <v>284</v>
      </c>
      <c r="E546" t="s">
        <v>240</v>
      </c>
      <c r="F546" t="s">
        <v>11</v>
      </c>
      <c r="G546" t="s">
        <v>226</v>
      </c>
      <c r="H546">
        <v>-3</v>
      </c>
      <c r="I546" t="s">
        <v>29</v>
      </c>
      <c r="J546" s="4" t="s">
        <v>32</v>
      </c>
      <c r="K546">
        <v>-1.2210000000000001</v>
      </c>
      <c r="L546">
        <v>27</v>
      </c>
      <c r="M546" t="s">
        <v>16</v>
      </c>
      <c r="N546" t="s">
        <v>17</v>
      </c>
      <c r="O546" s="3">
        <v>38238</v>
      </c>
      <c r="P546" s="3">
        <v>44104</v>
      </c>
      <c r="Q546" s="1">
        <v>-0.54508264840182663</v>
      </c>
      <c r="R546" s="7">
        <v>16.07123287671233</v>
      </c>
      <c r="S546">
        <v>36</v>
      </c>
      <c r="T546" s="2">
        <v>16.377024657534243</v>
      </c>
      <c r="U546" t="s">
        <v>27</v>
      </c>
    </row>
    <row r="547" spans="1:21" hidden="1" x14ac:dyDescent="0.25">
      <c r="A547" t="s">
        <v>118</v>
      </c>
      <c r="B547">
        <v>34.376238999999998</v>
      </c>
      <c r="C547">
        <v>-98.334631000000002</v>
      </c>
      <c r="D547" t="s">
        <v>288</v>
      </c>
      <c r="E547" t="s">
        <v>240</v>
      </c>
      <c r="F547" t="s">
        <v>11</v>
      </c>
      <c r="G547" t="s">
        <v>221</v>
      </c>
      <c r="H547">
        <v>99</v>
      </c>
      <c r="I547" t="s">
        <v>15</v>
      </c>
      <c r="J547" t="s">
        <v>186</v>
      </c>
      <c r="K547" t="s">
        <v>15</v>
      </c>
      <c r="L547">
        <v>15</v>
      </c>
      <c r="M547" s="3" t="s">
        <v>186</v>
      </c>
      <c r="N547" s="3" t="s">
        <v>186</v>
      </c>
      <c r="O547" s="3" t="s">
        <v>186</v>
      </c>
      <c r="P547" s="3" t="s">
        <v>186</v>
      </c>
      <c r="Q547" s="1" t="s">
        <v>186</v>
      </c>
      <c r="R547" s="7" t="s">
        <v>186</v>
      </c>
      <c r="S547" t="s">
        <v>186</v>
      </c>
      <c r="T547" t="s">
        <v>186</v>
      </c>
      <c r="U547" t="s">
        <v>13</v>
      </c>
    </row>
    <row r="548" spans="1:21" hidden="1" x14ac:dyDescent="0.25">
      <c r="A548" t="s">
        <v>118</v>
      </c>
      <c r="B548">
        <v>34.376238999999998</v>
      </c>
      <c r="C548">
        <v>-98.334631000000002</v>
      </c>
      <c r="D548" t="s">
        <v>288</v>
      </c>
      <c r="E548" t="s">
        <v>240</v>
      </c>
      <c r="F548" t="s">
        <v>11</v>
      </c>
      <c r="G548" t="s">
        <v>222</v>
      </c>
      <c r="H548">
        <v>0</v>
      </c>
      <c r="I548" t="s">
        <v>15</v>
      </c>
      <c r="J548" t="s">
        <v>14</v>
      </c>
      <c r="K548" t="s">
        <v>15</v>
      </c>
      <c r="L548">
        <v>20</v>
      </c>
      <c r="O548" s="3">
        <v>35961</v>
      </c>
      <c r="P548" s="3">
        <v>42989</v>
      </c>
      <c r="Q548" s="1" t="s">
        <v>14</v>
      </c>
      <c r="R548" s="7">
        <v>19.254794520547946</v>
      </c>
      <c r="S548" t="s">
        <v>14</v>
      </c>
      <c r="T548" t="s">
        <v>14</v>
      </c>
      <c r="U548" t="s">
        <v>13</v>
      </c>
    </row>
    <row r="549" spans="1:21" hidden="1" x14ac:dyDescent="0.25">
      <c r="A549" t="s">
        <v>118</v>
      </c>
      <c r="B549">
        <v>34.376238999999998</v>
      </c>
      <c r="C549">
        <v>-98.334631000000002</v>
      </c>
      <c r="D549" t="s">
        <v>288</v>
      </c>
      <c r="E549" t="s">
        <v>240</v>
      </c>
      <c r="F549" t="s">
        <v>11</v>
      </c>
      <c r="G549" t="s">
        <v>224</v>
      </c>
      <c r="H549">
        <v>99</v>
      </c>
      <c r="I549" t="s">
        <v>15</v>
      </c>
      <c r="J549" t="s">
        <v>186</v>
      </c>
      <c r="K549" t="s">
        <v>15</v>
      </c>
      <c r="L549">
        <v>15</v>
      </c>
      <c r="M549" s="3" t="s">
        <v>186</v>
      </c>
      <c r="N549" s="3" t="s">
        <v>186</v>
      </c>
      <c r="O549" s="3" t="s">
        <v>186</v>
      </c>
      <c r="P549" s="3" t="s">
        <v>186</v>
      </c>
      <c r="Q549" s="1" t="s">
        <v>186</v>
      </c>
      <c r="R549" s="7" t="s">
        <v>186</v>
      </c>
      <c r="S549" t="s">
        <v>186</v>
      </c>
      <c r="T549" t="s">
        <v>186</v>
      </c>
      <c r="U549" t="s">
        <v>13</v>
      </c>
    </row>
    <row r="550" spans="1:21" hidden="1" x14ac:dyDescent="0.25">
      <c r="A550" t="s">
        <v>118</v>
      </c>
      <c r="B550">
        <v>34.376238999999998</v>
      </c>
      <c r="C550">
        <v>-98.334631000000002</v>
      </c>
      <c r="D550" t="s">
        <v>288</v>
      </c>
      <c r="E550" t="s">
        <v>240</v>
      </c>
      <c r="F550" t="s">
        <v>11</v>
      </c>
      <c r="G550" t="s">
        <v>225</v>
      </c>
      <c r="H550">
        <v>0</v>
      </c>
      <c r="I550" t="s">
        <v>15</v>
      </c>
      <c r="J550" t="s">
        <v>14</v>
      </c>
      <c r="K550" s="2" t="s">
        <v>15</v>
      </c>
      <c r="L550">
        <v>20</v>
      </c>
      <c r="M550" t="s">
        <v>16</v>
      </c>
      <c r="N550" t="s">
        <v>17</v>
      </c>
      <c r="O550" s="3">
        <v>36858</v>
      </c>
      <c r="P550" s="3">
        <v>42989</v>
      </c>
      <c r="Q550" s="1" t="s">
        <v>14</v>
      </c>
      <c r="R550" s="7">
        <v>16.797260273972604</v>
      </c>
      <c r="S550" t="s">
        <v>14</v>
      </c>
      <c r="T550" t="s">
        <v>14</v>
      </c>
      <c r="U550" t="s">
        <v>21</v>
      </c>
    </row>
    <row r="551" spans="1:21" hidden="1" x14ac:dyDescent="0.25">
      <c r="A551" t="s">
        <v>118</v>
      </c>
      <c r="B551">
        <v>34.376238999999998</v>
      </c>
      <c r="C551">
        <v>-98.334631000000002</v>
      </c>
      <c r="D551" t="s">
        <v>288</v>
      </c>
      <c r="E551" t="s">
        <v>240</v>
      </c>
      <c r="F551" t="s">
        <v>11</v>
      </c>
      <c r="G551" t="s">
        <v>225</v>
      </c>
      <c r="H551">
        <v>0</v>
      </c>
      <c r="I551" t="s">
        <v>15</v>
      </c>
      <c r="J551" t="s">
        <v>14</v>
      </c>
      <c r="K551" t="s">
        <v>15</v>
      </c>
      <c r="L551">
        <v>20</v>
      </c>
      <c r="O551" s="3">
        <v>36858</v>
      </c>
      <c r="P551" s="3">
        <v>42989</v>
      </c>
      <c r="Q551" s="1" t="s">
        <v>14</v>
      </c>
      <c r="R551" s="7">
        <v>16.797260273972604</v>
      </c>
      <c r="S551" t="s">
        <v>14</v>
      </c>
      <c r="T551" t="s">
        <v>14</v>
      </c>
      <c r="U551" t="s">
        <v>13</v>
      </c>
    </row>
    <row r="552" spans="1:21" hidden="1" x14ac:dyDescent="0.25">
      <c r="A552" t="s">
        <v>118</v>
      </c>
      <c r="B552">
        <v>34.376238999999998</v>
      </c>
      <c r="C552">
        <v>-98.334631000000002</v>
      </c>
      <c r="D552" t="s">
        <v>288</v>
      </c>
      <c r="E552" t="s">
        <v>240</v>
      </c>
      <c r="F552" t="s">
        <v>11</v>
      </c>
      <c r="G552" t="s">
        <v>223</v>
      </c>
      <c r="H552">
        <v>0</v>
      </c>
      <c r="I552" t="s">
        <v>15</v>
      </c>
      <c r="J552" t="s">
        <v>14</v>
      </c>
      <c r="K552" t="s">
        <v>15</v>
      </c>
      <c r="L552">
        <v>20</v>
      </c>
      <c r="O552" s="3">
        <v>35961</v>
      </c>
      <c r="P552" s="3">
        <v>42989</v>
      </c>
      <c r="Q552" s="1" t="s">
        <v>14</v>
      </c>
      <c r="R552" s="7">
        <v>19.254794520547946</v>
      </c>
      <c r="S552" t="s">
        <v>14</v>
      </c>
      <c r="T552" t="s">
        <v>14</v>
      </c>
      <c r="U552" t="s">
        <v>13</v>
      </c>
    </row>
    <row r="553" spans="1:21" hidden="1" x14ac:dyDescent="0.25">
      <c r="A553" s="5" t="s">
        <v>215</v>
      </c>
      <c r="B553">
        <v>34.234869000000003</v>
      </c>
      <c r="C553">
        <v>-98.046964000000003</v>
      </c>
      <c r="D553" t="s">
        <v>285</v>
      </c>
      <c r="E553" t="s">
        <v>240</v>
      </c>
      <c r="F553" t="s">
        <v>11</v>
      </c>
      <c r="G553" t="s">
        <v>221</v>
      </c>
      <c r="H553">
        <v>0</v>
      </c>
      <c r="I553" t="s">
        <v>15</v>
      </c>
      <c r="J553" s="5" t="s">
        <v>14</v>
      </c>
      <c r="K553" t="s">
        <v>15</v>
      </c>
      <c r="L553" s="6">
        <v>27</v>
      </c>
      <c r="M553" s="5" t="s">
        <v>33</v>
      </c>
      <c r="N553" s="5" t="s">
        <v>16</v>
      </c>
      <c r="O553" s="3">
        <v>37573</v>
      </c>
      <c r="P553" s="3">
        <v>44060</v>
      </c>
      <c r="Q553" s="1" t="s">
        <v>14</v>
      </c>
      <c r="R553" s="7">
        <v>17.772602739726029</v>
      </c>
      <c r="S553" t="s">
        <v>14</v>
      </c>
      <c r="T553" t="s">
        <v>14</v>
      </c>
      <c r="U553" t="s">
        <v>13</v>
      </c>
    </row>
    <row r="554" spans="1:21" hidden="1" x14ac:dyDescent="0.25">
      <c r="A554" s="5" t="s">
        <v>215</v>
      </c>
      <c r="B554">
        <v>34.234869000000003</v>
      </c>
      <c r="C554">
        <v>-98.046964000000003</v>
      </c>
      <c r="D554" t="s">
        <v>285</v>
      </c>
      <c r="E554" t="s">
        <v>240</v>
      </c>
      <c r="F554" t="s">
        <v>11</v>
      </c>
      <c r="G554" t="s">
        <v>222</v>
      </c>
      <c r="H554">
        <v>1</v>
      </c>
      <c r="I554" t="s">
        <v>23</v>
      </c>
      <c r="J554" s="5" t="s">
        <v>40</v>
      </c>
      <c r="K554">
        <v>4.065E-3</v>
      </c>
      <c r="L554" s="6">
        <v>31</v>
      </c>
      <c r="M554" s="5" t="s">
        <v>17</v>
      </c>
      <c r="N554" s="5" t="s">
        <v>17</v>
      </c>
      <c r="O554" s="3">
        <v>36465</v>
      </c>
      <c r="P554" s="3">
        <v>44060</v>
      </c>
      <c r="Q554" s="1">
        <v>0.12083630136986308</v>
      </c>
      <c r="R554" s="7">
        <v>20.80821917808219</v>
      </c>
      <c r="S554">
        <v>0.7</v>
      </c>
      <c r="T554" s="2">
        <v>0.78458541095890411</v>
      </c>
      <c r="U554" t="s">
        <v>24</v>
      </c>
    </row>
    <row r="555" spans="1:21" hidden="1" x14ac:dyDescent="0.25">
      <c r="A555" s="5" t="s">
        <v>215</v>
      </c>
      <c r="B555">
        <v>34.234869000000003</v>
      </c>
      <c r="C555">
        <v>-98.046964000000003</v>
      </c>
      <c r="D555" t="s">
        <v>285</v>
      </c>
      <c r="E555" t="s">
        <v>240</v>
      </c>
      <c r="F555" t="s">
        <v>11</v>
      </c>
      <c r="G555" t="s">
        <v>224</v>
      </c>
      <c r="H555">
        <v>0</v>
      </c>
      <c r="I555" t="s">
        <v>15</v>
      </c>
      <c r="J555" s="5" t="s">
        <v>14</v>
      </c>
      <c r="K555" t="s">
        <v>15</v>
      </c>
      <c r="L555" s="6">
        <v>31</v>
      </c>
      <c r="M555" s="5" t="s">
        <v>17</v>
      </c>
      <c r="N555" s="5" t="s">
        <v>17</v>
      </c>
      <c r="O555" s="3">
        <v>36465</v>
      </c>
      <c r="P555" s="3">
        <v>44060</v>
      </c>
      <c r="Q555" s="1" t="s">
        <v>14</v>
      </c>
      <c r="R555" s="7">
        <v>20.80821917808219</v>
      </c>
      <c r="S555" t="s">
        <v>14</v>
      </c>
      <c r="T555" t="s">
        <v>14</v>
      </c>
      <c r="U555" t="s">
        <v>19</v>
      </c>
    </row>
    <row r="556" spans="1:21" hidden="1" x14ac:dyDescent="0.25">
      <c r="A556" s="5" t="s">
        <v>215</v>
      </c>
      <c r="B556">
        <v>34.234869000000003</v>
      </c>
      <c r="C556">
        <v>-98.046964000000003</v>
      </c>
      <c r="D556" t="s">
        <v>285</v>
      </c>
      <c r="E556" t="s">
        <v>240</v>
      </c>
      <c r="F556" t="s">
        <v>11</v>
      </c>
      <c r="G556" t="s">
        <v>225</v>
      </c>
      <c r="H556">
        <v>3</v>
      </c>
      <c r="I556" t="s">
        <v>23</v>
      </c>
      <c r="J556" t="s">
        <v>22</v>
      </c>
      <c r="K556" s="2">
        <v>6</v>
      </c>
      <c r="L556">
        <v>35</v>
      </c>
      <c r="M556" t="s">
        <v>16</v>
      </c>
      <c r="N556" t="s">
        <v>17</v>
      </c>
      <c r="O556" s="3">
        <v>36465</v>
      </c>
      <c r="P556" s="3">
        <v>45181</v>
      </c>
      <c r="Q556" s="1">
        <v>0.28093473005640623</v>
      </c>
      <c r="R556" s="7">
        <v>23.87945205479452</v>
      </c>
      <c r="S556">
        <v>510</v>
      </c>
      <c r="T556" s="2">
        <v>653.27671232876719</v>
      </c>
      <c r="U556" t="s">
        <v>21</v>
      </c>
    </row>
    <row r="557" spans="1:21" hidden="1" x14ac:dyDescent="0.25">
      <c r="A557" s="5" t="s">
        <v>215</v>
      </c>
      <c r="B557">
        <v>34.234869000000003</v>
      </c>
      <c r="C557">
        <v>-98.046964000000003</v>
      </c>
      <c r="D557" t="s">
        <v>285</v>
      </c>
      <c r="E557" t="s">
        <v>240</v>
      </c>
      <c r="F557" t="s">
        <v>11</v>
      </c>
      <c r="G557" t="s">
        <v>223</v>
      </c>
      <c r="H557">
        <v>3</v>
      </c>
      <c r="I557" t="s">
        <v>23</v>
      </c>
      <c r="J557" s="4" t="s">
        <v>22</v>
      </c>
      <c r="K557">
        <v>2.5370000000000002E-3</v>
      </c>
      <c r="L557" s="6">
        <v>31</v>
      </c>
      <c r="M557" s="5" t="s">
        <v>17</v>
      </c>
      <c r="N557" s="5" t="s">
        <v>17</v>
      </c>
      <c r="O557" s="3">
        <v>36465</v>
      </c>
      <c r="P557" s="3">
        <v>44060</v>
      </c>
      <c r="Q557" s="1">
        <v>0.75414931506849303</v>
      </c>
      <c r="R557" s="7">
        <v>20.80821917808219</v>
      </c>
      <c r="S557">
        <v>7.0000000000000007E-2</v>
      </c>
      <c r="T557" s="2">
        <v>0.12279045205479452</v>
      </c>
      <c r="U557" t="s">
        <v>24</v>
      </c>
    </row>
    <row r="558" spans="1:21" hidden="1" x14ac:dyDescent="0.25">
      <c r="A558" s="5" t="s">
        <v>215</v>
      </c>
      <c r="B558">
        <v>34.234869000000003</v>
      </c>
      <c r="C558">
        <v>-98.046964000000003</v>
      </c>
      <c r="D558" t="s">
        <v>285</v>
      </c>
      <c r="E558" t="s">
        <v>240</v>
      </c>
      <c r="F558" t="s">
        <v>11</v>
      </c>
      <c r="G558" t="s">
        <v>226</v>
      </c>
      <c r="H558">
        <v>0</v>
      </c>
      <c r="I558" t="s">
        <v>15</v>
      </c>
      <c r="J558" s="5" t="s">
        <v>14</v>
      </c>
      <c r="K558" t="s">
        <v>15</v>
      </c>
      <c r="L558" s="6">
        <v>31</v>
      </c>
      <c r="M558" s="5" t="s">
        <v>17</v>
      </c>
      <c r="N558" s="5" t="s">
        <v>16</v>
      </c>
      <c r="O558" s="3">
        <v>36465</v>
      </c>
      <c r="P558" s="3">
        <v>44060</v>
      </c>
      <c r="Q558" s="1" t="s">
        <v>14</v>
      </c>
      <c r="R558" s="7">
        <v>20.80821917808219</v>
      </c>
      <c r="S558" t="s">
        <v>14</v>
      </c>
      <c r="T558" t="s">
        <v>14</v>
      </c>
      <c r="U558" t="s">
        <v>27</v>
      </c>
    </row>
    <row r="559" spans="1:21" hidden="1" x14ac:dyDescent="0.25">
      <c r="A559" s="5" t="s">
        <v>132</v>
      </c>
      <c r="B559">
        <v>34.993026999999998</v>
      </c>
      <c r="C559">
        <v>-95.356201999999996</v>
      </c>
      <c r="D559" t="s">
        <v>286</v>
      </c>
      <c r="E559" t="s">
        <v>240</v>
      </c>
      <c r="F559" t="s">
        <v>11</v>
      </c>
      <c r="G559" t="s">
        <v>221</v>
      </c>
      <c r="H559">
        <v>0</v>
      </c>
      <c r="I559" t="s">
        <v>15</v>
      </c>
      <c r="J559" s="5" t="s">
        <v>14</v>
      </c>
      <c r="K559" t="s">
        <v>15</v>
      </c>
      <c r="L559" s="6">
        <v>27</v>
      </c>
      <c r="M559" s="5" t="s">
        <v>16</v>
      </c>
      <c r="N559" s="5" t="s">
        <v>33</v>
      </c>
      <c r="O559" s="3">
        <v>36472</v>
      </c>
      <c r="P559" s="3">
        <v>42955</v>
      </c>
      <c r="Q559" s="1" t="s">
        <v>14</v>
      </c>
      <c r="R559" s="7">
        <v>17.761643835616439</v>
      </c>
      <c r="S559" t="s">
        <v>14</v>
      </c>
      <c r="T559" t="s">
        <v>14</v>
      </c>
      <c r="U559" t="s">
        <v>13</v>
      </c>
    </row>
    <row r="560" spans="1:21" hidden="1" x14ac:dyDescent="0.25">
      <c r="A560" s="5" t="s">
        <v>132</v>
      </c>
      <c r="B560">
        <v>34.993026999999998</v>
      </c>
      <c r="C560">
        <v>-95.356201999999996</v>
      </c>
      <c r="D560" t="s">
        <v>286</v>
      </c>
      <c r="E560" t="s">
        <v>240</v>
      </c>
      <c r="F560" t="s">
        <v>11</v>
      </c>
      <c r="G560" t="s">
        <v>222</v>
      </c>
      <c r="H560">
        <v>0</v>
      </c>
      <c r="I560" t="s">
        <v>15</v>
      </c>
      <c r="J560" s="5" t="s">
        <v>14</v>
      </c>
      <c r="K560" t="s">
        <v>15</v>
      </c>
      <c r="L560" s="6">
        <v>27</v>
      </c>
      <c r="M560" s="5" t="s">
        <v>17</v>
      </c>
      <c r="N560" s="5" t="s">
        <v>33</v>
      </c>
      <c r="O560" s="3">
        <v>36472</v>
      </c>
      <c r="P560" s="3">
        <v>42955</v>
      </c>
      <c r="Q560" s="1" t="s">
        <v>14</v>
      </c>
      <c r="R560" s="7">
        <v>17.761643835616439</v>
      </c>
      <c r="S560" t="s">
        <v>14</v>
      </c>
      <c r="T560" t="s">
        <v>14</v>
      </c>
      <c r="U560" t="s">
        <v>24</v>
      </c>
    </row>
    <row r="561" spans="1:21" hidden="1" x14ac:dyDescent="0.25">
      <c r="A561" s="5" t="s">
        <v>132</v>
      </c>
      <c r="B561">
        <v>34.993026999999998</v>
      </c>
      <c r="C561">
        <v>-95.356201999999996</v>
      </c>
      <c r="D561" t="s">
        <v>286</v>
      </c>
      <c r="E561" t="s">
        <v>240</v>
      </c>
      <c r="F561" t="s">
        <v>11</v>
      </c>
      <c r="G561" t="s">
        <v>224</v>
      </c>
      <c r="H561">
        <v>2</v>
      </c>
      <c r="I561" t="s">
        <v>23</v>
      </c>
      <c r="J561" s="4" t="s">
        <v>38</v>
      </c>
      <c r="K561">
        <v>1.8859999999999999</v>
      </c>
      <c r="L561" s="6">
        <v>27</v>
      </c>
      <c r="M561" s="5" t="s">
        <v>16</v>
      </c>
      <c r="N561" s="5" t="s">
        <v>17</v>
      </c>
      <c r="O561" s="3">
        <v>36472</v>
      </c>
      <c r="P561" s="3">
        <v>42955</v>
      </c>
      <c r="Q561" s="1">
        <v>0.5153609272918861</v>
      </c>
      <c r="R561" s="7">
        <v>17.761643835616439</v>
      </c>
      <c r="S561">
        <v>65</v>
      </c>
      <c r="T561" s="2">
        <v>98.498460273972597</v>
      </c>
      <c r="U561" t="s">
        <v>19</v>
      </c>
    </row>
    <row r="562" spans="1:21" hidden="1" x14ac:dyDescent="0.25">
      <c r="A562" s="5" t="s">
        <v>132</v>
      </c>
      <c r="B562">
        <v>34.993026999999998</v>
      </c>
      <c r="C562">
        <v>-95.356201999999996</v>
      </c>
      <c r="D562" t="s">
        <v>286</v>
      </c>
      <c r="E562" t="s">
        <v>240</v>
      </c>
      <c r="F562" t="s">
        <v>11</v>
      </c>
      <c r="G562" t="s">
        <v>225</v>
      </c>
      <c r="H562">
        <v>3</v>
      </c>
      <c r="I562" t="s">
        <v>23</v>
      </c>
      <c r="J562" t="s">
        <v>22</v>
      </c>
      <c r="K562" s="2">
        <v>1.67</v>
      </c>
      <c r="L562">
        <v>27</v>
      </c>
      <c r="M562" t="s">
        <v>31</v>
      </c>
      <c r="N562" t="s">
        <v>16</v>
      </c>
      <c r="O562" s="3">
        <v>36472</v>
      </c>
      <c r="P562" s="3">
        <v>42987</v>
      </c>
      <c r="Q562" s="1">
        <v>0.70972276581865601</v>
      </c>
      <c r="R562" s="7">
        <v>17.849315068493151</v>
      </c>
      <c r="S562">
        <v>42</v>
      </c>
      <c r="T562" s="2">
        <v>71.808356164383554</v>
      </c>
      <c r="U562" t="s">
        <v>21</v>
      </c>
    </row>
    <row r="563" spans="1:21" hidden="1" x14ac:dyDescent="0.25">
      <c r="A563" s="5" t="s">
        <v>132</v>
      </c>
      <c r="B563">
        <v>34.993026999999998</v>
      </c>
      <c r="C563">
        <v>-95.356201999999996</v>
      </c>
      <c r="D563" t="s">
        <v>286</v>
      </c>
      <c r="E563" t="s">
        <v>240</v>
      </c>
      <c r="F563" t="s">
        <v>11</v>
      </c>
      <c r="G563" t="s">
        <v>223</v>
      </c>
      <c r="H563">
        <v>-3</v>
      </c>
      <c r="I563" t="s">
        <v>29</v>
      </c>
      <c r="J563" s="4" t="s">
        <v>32</v>
      </c>
      <c r="K563">
        <v>-1.1479999999999999E-3</v>
      </c>
      <c r="L563" s="6">
        <v>26</v>
      </c>
      <c r="M563" s="5" t="s">
        <v>16</v>
      </c>
      <c r="N563" s="5" t="s">
        <v>17</v>
      </c>
      <c r="O563" s="3">
        <v>36472</v>
      </c>
      <c r="P563" s="3">
        <v>42955</v>
      </c>
      <c r="Q563" s="1">
        <v>-0.49732602739726023</v>
      </c>
      <c r="R563" s="7">
        <v>17.761643835616439</v>
      </c>
      <c r="S563">
        <v>4.1000000000000002E-2</v>
      </c>
      <c r="T563" s="2">
        <v>2.060963287671233E-2</v>
      </c>
      <c r="U563" t="s">
        <v>24</v>
      </c>
    </row>
    <row r="564" spans="1:21" hidden="1" x14ac:dyDescent="0.25">
      <c r="A564" s="5" t="s">
        <v>132</v>
      </c>
      <c r="B564">
        <v>34.993026999999998</v>
      </c>
      <c r="C564">
        <v>-95.356201999999996</v>
      </c>
      <c r="D564" t="s">
        <v>286</v>
      </c>
      <c r="E564" t="s">
        <v>240</v>
      </c>
      <c r="F564" t="s">
        <v>11</v>
      </c>
      <c r="G564" t="s">
        <v>226</v>
      </c>
      <c r="H564">
        <v>-2</v>
      </c>
      <c r="I564" t="s">
        <v>29</v>
      </c>
      <c r="J564" s="5" t="s">
        <v>34</v>
      </c>
      <c r="K564">
        <v>-0.33169999999999999</v>
      </c>
      <c r="L564" s="4">
        <v>27</v>
      </c>
      <c r="M564" s="5" t="s">
        <v>31</v>
      </c>
      <c r="N564" s="5" t="s">
        <v>17</v>
      </c>
      <c r="O564" s="3">
        <v>36472</v>
      </c>
      <c r="P564" s="3">
        <v>42955</v>
      </c>
      <c r="Q564" s="1">
        <v>-0.45319517386722868</v>
      </c>
      <c r="R564" s="7">
        <v>17.761643835616439</v>
      </c>
      <c r="S564">
        <v>13</v>
      </c>
      <c r="T564" s="2">
        <v>7.1084627397260274</v>
      </c>
      <c r="U564" t="s">
        <v>27</v>
      </c>
    </row>
    <row r="565" spans="1:21" hidden="1" x14ac:dyDescent="0.25">
      <c r="A565" t="s">
        <v>119</v>
      </c>
      <c r="B565">
        <v>35.554721999999998</v>
      </c>
      <c r="C565">
        <v>-95.170556000000005</v>
      </c>
      <c r="D565" t="s">
        <v>263</v>
      </c>
      <c r="E565" t="s">
        <v>240</v>
      </c>
      <c r="F565" t="s">
        <v>11</v>
      </c>
      <c r="G565" t="s">
        <v>221</v>
      </c>
      <c r="H565">
        <v>0</v>
      </c>
      <c r="I565" t="s">
        <v>15</v>
      </c>
      <c r="J565" t="s">
        <v>14</v>
      </c>
      <c r="K565" t="s">
        <v>15</v>
      </c>
      <c r="L565">
        <v>23</v>
      </c>
      <c r="M565" t="s">
        <v>16</v>
      </c>
      <c r="N565" t="s">
        <v>17</v>
      </c>
      <c r="O565" s="3">
        <v>37900</v>
      </c>
      <c r="P565" s="3">
        <v>43522</v>
      </c>
      <c r="Q565" s="1" t="s">
        <v>14</v>
      </c>
      <c r="R565" s="7">
        <v>15.402739726027397</v>
      </c>
      <c r="S565" t="s">
        <v>14</v>
      </c>
      <c r="T565" t="s">
        <v>14</v>
      </c>
      <c r="U565" t="s">
        <v>13</v>
      </c>
    </row>
    <row r="566" spans="1:21" hidden="1" x14ac:dyDescent="0.25">
      <c r="A566" t="s">
        <v>119</v>
      </c>
      <c r="B566">
        <v>35.554721999999998</v>
      </c>
      <c r="C566">
        <v>-95.170556000000005</v>
      </c>
      <c r="D566" t="s">
        <v>263</v>
      </c>
      <c r="E566" t="s">
        <v>240</v>
      </c>
      <c r="F566" t="s">
        <v>11</v>
      </c>
      <c r="G566" t="s">
        <v>222</v>
      </c>
      <c r="H566">
        <v>0</v>
      </c>
      <c r="I566" t="s">
        <v>15</v>
      </c>
      <c r="J566" t="s">
        <v>14</v>
      </c>
      <c r="K566" t="s">
        <v>15</v>
      </c>
      <c r="L566">
        <v>26</v>
      </c>
      <c r="M566" t="s">
        <v>16</v>
      </c>
      <c r="N566" t="s">
        <v>17</v>
      </c>
      <c r="O566" s="3">
        <v>36829</v>
      </c>
      <c r="P566" s="3">
        <v>43522</v>
      </c>
      <c r="Q566" s="1" t="s">
        <v>14</v>
      </c>
      <c r="R566" s="7">
        <v>18.336986301369862</v>
      </c>
      <c r="S566" t="s">
        <v>14</v>
      </c>
      <c r="T566" t="s">
        <v>14</v>
      </c>
      <c r="U566" t="s">
        <v>24</v>
      </c>
    </row>
    <row r="567" spans="1:21" hidden="1" x14ac:dyDescent="0.25">
      <c r="A567" t="s">
        <v>119</v>
      </c>
      <c r="B567">
        <v>35.554721999999998</v>
      </c>
      <c r="C567">
        <v>-95.170556000000005</v>
      </c>
      <c r="D567" t="s">
        <v>263</v>
      </c>
      <c r="E567" t="s">
        <v>240</v>
      </c>
      <c r="F567" t="s">
        <v>11</v>
      </c>
      <c r="G567" t="s">
        <v>224</v>
      </c>
      <c r="H567">
        <v>0</v>
      </c>
      <c r="I567" t="s">
        <v>15</v>
      </c>
      <c r="J567" s="5" t="s">
        <v>14</v>
      </c>
      <c r="K567" t="s">
        <v>15</v>
      </c>
      <c r="L567">
        <v>18</v>
      </c>
      <c r="M567" t="s">
        <v>16</v>
      </c>
      <c r="N567" t="s">
        <v>17</v>
      </c>
      <c r="O567" s="3">
        <v>36829</v>
      </c>
      <c r="P567" s="3">
        <v>43522</v>
      </c>
      <c r="Q567" s="1" t="s">
        <v>14</v>
      </c>
      <c r="R567" s="7">
        <v>18.336986301369862</v>
      </c>
      <c r="S567" t="s">
        <v>14</v>
      </c>
      <c r="T567" t="s">
        <v>14</v>
      </c>
      <c r="U567" t="s">
        <v>19</v>
      </c>
    </row>
    <row r="568" spans="1:21" hidden="1" x14ac:dyDescent="0.25">
      <c r="A568" t="s">
        <v>119</v>
      </c>
      <c r="B568">
        <v>35.554721999999998</v>
      </c>
      <c r="C568">
        <v>-95.170556000000005</v>
      </c>
      <c r="D568" t="s">
        <v>263</v>
      </c>
      <c r="E568" t="s">
        <v>240</v>
      </c>
      <c r="F568" t="s">
        <v>11</v>
      </c>
      <c r="G568" t="s">
        <v>225</v>
      </c>
      <c r="H568">
        <v>0</v>
      </c>
      <c r="I568" t="s">
        <v>15</v>
      </c>
      <c r="J568" t="s">
        <v>14</v>
      </c>
      <c r="K568" s="2" t="s">
        <v>15</v>
      </c>
      <c r="L568">
        <v>26</v>
      </c>
      <c r="M568" t="s">
        <v>16</v>
      </c>
      <c r="N568" t="s">
        <v>17</v>
      </c>
      <c r="O568" s="3">
        <v>36829</v>
      </c>
      <c r="P568" s="3">
        <v>42646</v>
      </c>
      <c r="Q568" s="1" t="s">
        <v>14</v>
      </c>
      <c r="R568" s="7">
        <v>15.936986301369863</v>
      </c>
      <c r="S568" t="s">
        <v>14</v>
      </c>
      <c r="T568" t="s">
        <v>14</v>
      </c>
      <c r="U568" t="s">
        <v>21</v>
      </c>
    </row>
    <row r="569" spans="1:21" hidden="1" x14ac:dyDescent="0.25">
      <c r="A569" t="s">
        <v>119</v>
      </c>
      <c r="B569">
        <v>35.554721999999998</v>
      </c>
      <c r="C569">
        <v>-95.170556000000005</v>
      </c>
      <c r="D569" t="s">
        <v>263</v>
      </c>
      <c r="E569" t="s">
        <v>240</v>
      </c>
      <c r="F569" t="s">
        <v>11</v>
      </c>
      <c r="G569" t="s">
        <v>223</v>
      </c>
      <c r="H569">
        <v>0</v>
      </c>
      <c r="I569" t="s">
        <v>15</v>
      </c>
      <c r="J569" t="s">
        <v>14</v>
      </c>
      <c r="K569" t="s">
        <v>15</v>
      </c>
      <c r="L569">
        <v>26</v>
      </c>
      <c r="M569" t="s">
        <v>16</v>
      </c>
      <c r="N569" t="s">
        <v>17</v>
      </c>
      <c r="O569" s="3">
        <v>36829</v>
      </c>
      <c r="P569" s="3">
        <v>43522</v>
      </c>
      <c r="Q569" s="1" t="s">
        <v>14</v>
      </c>
      <c r="R569" s="7">
        <v>18.336986301369862</v>
      </c>
      <c r="S569" t="s">
        <v>14</v>
      </c>
      <c r="T569" t="s">
        <v>14</v>
      </c>
      <c r="U569" t="s">
        <v>24</v>
      </c>
    </row>
    <row r="570" spans="1:21" hidden="1" x14ac:dyDescent="0.25">
      <c r="A570" t="s">
        <v>119</v>
      </c>
      <c r="B570">
        <v>35.554721999999998</v>
      </c>
      <c r="C570">
        <v>-95.170556000000005</v>
      </c>
      <c r="D570" t="s">
        <v>263</v>
      </c>
      <c r="E570" t="s">
        <v>240</v>
      </c>
      <c r="F570" t="s">
        <v>11</v>
      </c>
      <c r="G570" t="s">
        <v>226</v>
      </c>
      <c r="H570">
        <v>0</v>
      </c>
      <c r="I570" t="s">
        <v>15</v>
      </c>
      <c r="J570" t="s">
        <v>14</v>
      </c>
      <c r="K570" t="s">
        <v>15</v>
      </c>
      <c r="L570">
        <v>20</v>
      </c>
      <c r="M570" t="s">
        <v>16</v>
      </c>
      <c r="N570" t="s">
        <v>17</v>
      </c>
      <c r="O570" s="3">
        <v>36829</v>
      </c>
      <c r="P570" s="3">
        <v>43522</v>
      </c>
      <c r="Q570" s="1" t="s">
        <v>14</v>
      </c>
      <c r="R570" s="7">
        <v>18.336986301369862</v>
      </c>
      <c r="S570" t="s">
        <v>14</v>
      </c>
      <c r="T570" t="s">
        <v>14</v>
      </c>
      <c r="U570" t="s">
        <v>27</v>
      </c>
    </row>
    <row r="571" spans="1:21" hidden="1" x14ac:dyDescent="0.25">
      <c r="A571" t="s">
        <v>120</v>
      </c>
      <c r="B571">
        <v>35.402591999999999</v>
      </c>
      <c r="C571">
        <v>-97.098185999999998</v>
      </c>
      <c r="D571" t="s">
        <v>281</v>
      </c>
      <c r="E571" t="s">
        <v>240</v>
      </c>
      <c r="F571" t="s">
        <v>11</v>
      </c>
      <c r="G571" t="s">
        <v>221</v>
      </c>
      <c r="H571">
        <v>3</v>
      </c>
      <c r="I571" t="s">
        <v>23</v>
      </c>
      <c r="J571" s="4" t="s">
        <v>22</v>
      </c>
      <c r="K571">
        <v>0.43009999999999998</v>
      </c>
      <c r="L571">
        <v>25</v>
      </c>
      <c r="M571" t="s">
        <v>16</v>
      </c>
      <c r="N571" t="s">
        <v>17</v>
      </c>
      <c r="O571" s="3">
        <v>37867</v>
      </c>
      <c r="P571" s="3">
        <v>44492</v>
      </c>
      <c r="Q571" s="1">
        <v>1.3011015981735159</v>
      </c>
      <c r="R571" s="7">
        <v>18.150684931506849</v>
      </c>
      <c r="S571">
        <v>6</v>
      </c>
      <c r="T571" s="2">
        <v>13.806609589041095</v>
      </c>
      <c r="U571" t="s">
        <v>13</v>
      </c>
    </row>
    <row r="572" spans="1:21" hidden="1" x14ac:dyDescent="0.25">
      <c r="A572" t="s">
        <v>120</v>
      </c>
      <c r="B572">
        <v>35.402591999999999</v>
      </c>
      <c r="C572">
        <v>-97.098185999999998</v>
      </c>
      <c r="D572" t="s">
        <v>281</v>
      </c>
      <c r="E572" t="s">
        <v>240</v>
      </c>
      <c r="F572" t="s">
        <v>11</v>
      </c>
      <c r="G572" t="s">
        <v>222</v>
      </c>
      <c r="H572">
        <v>2</v>
      </c>
      <c r="I572" t="s">
        <v>23</v>
      </c>
      <c r="J572" s="4" t="s">
        <v>38</v>
      </c>
      <c r="K572">
        <v>1.2120000000000001E-2</v>
      </c>
      <c r="L572">
        <v>34</v>
      </c>
      <c r="M572" t="s">
        <v>16</v>
      </c>
      <c r="N572" t="s">
        <v>33</v>
      </c>
      <c r="O572" s="3">
        <v>35919</v>
      </c>
      <c r="P572" s="3">
        <v>44460</v>
      </c>
      <c r="Q572" s="1">
        <v>0.40515428571428569</v>
      </c>
      <c r="R572" s="7">
        <v>23.4</v>
      </c>
      <c r="S572">
        <v>0.7</v>
      </c>
      <c r="T572" s="2">
        <v>0.98360799999999993</v>
      </c>
      <c r="U572" t="s">
        <v>24</v>
      </c>
    </row>
    <row r="573" spans="1:21" hidden="1" x14ac:dyDescent="0.25">
      <c r="A573" t="s">
        <v>120</v>
      </c>
      <c r="B573">
        <v>35.402591999999999</v>
      </c>
      <c r="C573">
        <v>-97.098185999999998</v>
      </c>
      <c r="D573" t="s">
        <v>281</v>
      </c>
      <c r="E573" t="s">
        <v>240</v>
      </c>
      <c r="F573" t="s">
        <v>11</v>
      </c>
      <c r="G573" t="s">
        <v>224</v>
      </c>
      <c r="H573">
        <v>-1</v>
      </c>
      <c r="I573" t="s">
        <v>29</v>
      </c>
      <c r="J573" t="s">
        <v>28</v>
      </c>
      <c r="K573">
        <v>-1.5369999999999999</v>
      </c>
      <c r="L573">
        <v>24</v>
      </c>
      <c r="M573" t="s">
        <v>17</v>
      </c>
      <c r="N573" t="s">
        <v>17</v>
      </c>
      <c r="O573" s="3">
        <v>37167</v>
      </c>
      <c r="P573" s="3">
        <v>44460</v>
      </c>
      <c r="Q573" s="1">
        <v>-0.43872176125244611</v>
      </c>
      <c r="R573" s="7">
        <v>19.980821917808218</v>
      </c>
      <c r="S573">
        <v>70</v>
      </c>
      <c r="T573" s="2">
        <v>39.289476712328771</v>
      </c>
      <c r="U573" t="s">
        <v>19</v>
      </c>
    </row>
    <row r="574" spans="1:21" hidden="1" x14ac:dyDescent="0.25">
      <c r="A574" t="s">
        <v>120</v>
      </c>
      <c r="B574">
        <v>35.402591999999999</v>
      </c>
      <c r="C574">
        <v>-97.098185999999998</v>
      </c>
      <c r="D574" t="s">
        <v>281</v>
      </c>
      <c r="E574" t="s">
        <v>240</v>
      </c>
      <c r="F574" t="s">
        <v>11</v>
      </c>
      <c r="G574" t="s">
        <v>225</v>
      </c>
      <c r="H574">
        <v>3</v>
      </c>
      <c r="I574" t="s">
        <v>23</v>
      </c>
      <c r="J574" t="s">
        <v>22</v>
      </c>
      <c r="K574" s="2">
        <v>3.9060000000000001</v>
      </c>
      <c r="L574">
        <v>34</v>
      </c>
      <c r="M574" t="s">
        <v>16</v>
      </c>
      <c r="N574" t="s">
        <v>16</v>
      </c>
      <c r="O574" s="3">
        <v>35919</v>
      </c>
      <c r="P574" s="3">
        <v>44460</v>
      </c>
      <c r="Q574" s="1">
        <v>0.41545636363636357</v>
      </c>
      <c r="R574" s="7">
        <v>23.4</v>
      </c>
      <c r="S574">
        <v>220</v>
      </c>
      <c r="T574" s="2">
        <v>311.40039999999999</v>
      </c>
      <c r="U574" t="s">
        <v>21</v>
      </c>
    </row>
    <row r="575" spans="1:21" hidden="1" x14ac:dyDescent="0.25">
      <c r="A575" t="s">
        <v>120</v>
      </c>
      <c r="B575">
        <v>35.402591999999999</v>
      </c>
      <c r="C575">
        <v>-97.098185999999998</v>
      </c>
      <c r="D575" t="s">
        <v>281</v>
      </c>
      <c r="E575" t="s">
        <v>240</v>
      </c>
      <c r="F575" t="s">
        <v>11</v>
      </c>
      <c r="G575" t="s">
        <v>223</v>
      </c>
      <c r="H575">
        <v>1</v>
      </c>
      <c r="I575" t="s">
        <v>23</v>
      </c>
      <c r="J575" s="4" t="s">
        <v>40</v>
      </c>
      <c r="K575">
        <v>5.5360000000000001E-4</v>
      </c>
      <c r="L575">
        <v>34</v>
      </c>
      <c r="M575" t="s">
        <v>16</v>
      </c>
      <c r="N575" t="s">
        <v>17</v>
      </c>
      <c r="O575" s="3">
        <v>35919</v>
      </c>
      <c r="P575" s="3">
        <v>44460</v>
      </c>
      <c r="Q575" s="1">
        <v>0.43180799999999997</v>
      </c>
      <c r="R575" s="7">
        <v>23.4</v>
      </c>
      <c r="S575">
        <v>0.03</v>
      </c>
      <c r="T575" s="2">
        <v>4.2954239999999998E-2</v>
      </c>
      <c r="U575" t="s">
        <v>24</v>
      </c>
    </row>
    <row r="576" spans="1:21" hidden="1" x14ac:dyDescent="0.25">
      <c r="A576" t="s">
        <v>120</v>
      </c>
      <c r="B576">
        <v>35.402591999999999</v>
      </c>
      <c r="C576">
        <v>-97.098185999999998</v>
      </c>
      <c r="D576" t="s">
        <v>281</v>
      </c>
      <c r="E576" t="s">
        <v>240</v>
      </c>
      <c r="F576" t="s">
        <v>11</v>
      </c>
      <c r="G576" t="s">
        <v>226</v>
      </c>
      <c r="H576">
        <v>0</v>
      </c>
      <c r="I576" t="s">
        <v>15</v>
      </c>
      <c r="J576" t="s">
        <v>14</v>
      </c>
      <c r="K576" t="s">
        <v>15</v>
      </c>
      <c r="L576">
        <v>31</v>
      </c>
      <c r="M576" t="s">
        <v>16</v>
      </c>
      <c r="N576" t="s">
        <v>33</v>
      </c>
      <c r="O576" s="3">
        <v>37167</v>
      </c>
      <c r="P576" s="3">
        <v>44460</v>
      </c>
      <c r="Q576" s="1" t="s">
        <v>14</v>
      </c>
      <c r="R576" s="7">
        <v>19.980821917808218</v>
      </c>
      <c r="S576" t="s">
        <v>14</v>
      </c>
      <c r="T576" t="s">
        <v>14</v>
      </c>
      <c r="U576" t="s">
        <v>27</v>
      </c>
    </row>
    <row r="577" spans="1:21" hidden="1" x14ac:dyDescent="0.25">
      <c r="A577" t="s">
        <v>121</v>
      </c>
      <c r="B577">
        <v>35.181158000000003</v>
      </c>
      <c r="C577">
        <v>-96.524850000000001</v>
      </c>
      <c r="D577" t="s">
        <v>270</v>
      </c>
      <c r="E577" t="s">
        <v>240</v>
      </c>
      <c r="F577" t="s">
        <v>11</v>
      </c>
      <c r="G577" t="s">
        <v>221</v>
      </c>
      <c r="H577">
        <v>1</v>
      </c>
      <c r="I577" t="s">
        <v>23</v>
      </c>
      <c r="J577" s="5" t="s">
        <v>40</v>
      </c>
      <c r="K577">
        <v>0.56530000000000002</v>
      </c>
      <c r="L577">
        <v>20</v>
      </c>
      <c r="M577" t="s">
        <v>16</v>
      </c>
      <c r="N577" t="s">
        <v>17</v>
      </c>
      <c r="O577" s="3">
        <v>37895</v>
      </c>
      <c r="P577" s="3">
        <v>44077</v>
      </c>
      <c r="Q577" s="1">
        <v>1.595746392694064</v>
      </c>
      <c r="R577" s="7">
        <v>16.936986301369863</v>
      </c>
      <c r="S577">
        <v>6</v>
      </c>
      <c r="T577" s="2">
        <v>15.574478356164384</v>
      </c>
      <c r="U577" t="s">
        <v>13</v>
      </c>
    </row>
    <row r="578" spans="1:21" hidden="1" x14ac:dyDescent="0.25">
      <c r="A578" t="s">
        <v>121</v>
      </c>
      <c r="B578">
        <v>35.181158000000003</v>
      </c>
      <c r="C578">
        <v>-96.524850000000001</v>
      </c>
      <c r="D578" t="s">
        <v>270</v>
      </c>
      <c r="E578" t="s">
        <v>240</v>
      </c>
      <c r="F578" t="s">
        <v>11</v>
      </c>
      <c r="G578" t="s">
        <v>222</v>
      </c>
      <c r="H578">
        <v>2</v>
      </c>
      <c r="I578" t="s">
        <v>23</v>
      </c>
      <c r="J578" s="4" t="s">
        <v>38</v>
      </c>
      <c r="K578">
        <v>1.257E-2</v>
      </c>
      <c r="L578">
        <v>22</v>
      </c>
      <c r="M578" t="s">
        <v>16</v>
      </c>
      <c r="N578" t="s">
        <v>31</v>
      </c>
      <c r="O578" s="3">
        <v>37187</v>
      </c>
      <c r="P578" s="3">
        <v>44047</v>
      </c>
      <c r="Q578" s="1">
        <v>0.36345711275026332</v>
      </c>
      <c r="R578" s="7">
        <v>18.794520547945204</v>
      </c>
      <c r="S578">
        <v>0.65</v>
      </c>
      <c r="T578" s="2">
        <v>0.88624712328767119</v>
      </c>
      <c r="U578" t="s">
        <v>24</v>
      </c>
    </row>
    <row r="579" spans="1:21" hidden="1" x14ac:dyDescent="0.25">
      <c r="A579" t="s">
        <v>121</v>
      </c>
      <c r="B579">
        <v>35.181158000000003</v>
      </c>
      <c r="C579">
        <v>-96.524850000000001</v>
      </c>
      <c r="D579" t="s">
        <v>270</v>
      </c>
      <c r="E579" t="s">
        <v>240</v>
      </c>
      <c r="F579" t="s">
        <v>11</v>
      </c>
      <c r="G579" t="s">
        <v>224</v>
      </c>
      <c r="H579">
        <v>0</v>
      </c>
      <c r="I579" t="s">
        <v>15</v>
      </c>
      <c r="J579" s="5" t="s">
        <v>14</v>
      </c>
      <c r="K579" t="s">
        <v>15</v>
      </c>
      <c r="L579">
        <v>14</v>
      </c>
      <c r="M579" t="s">
        <v>17</v>
      </c>
      <c r="N579" t="s">
        <v>17</v>
      </c>
      <c r="O579" s="3">
        <v>37895</v>
      </c>
      <c r="P579" s="3">
        <v>44047</v>
      </c>
      <c r="Q579" s="1" t="s">
        <v>14</v>
      </c>
      <c r="R579" s="7">
        <v>16.854794520547944</v>
      </c>
      <c r="S579" t="s">
        <v>14</v>
      </c>
      <c r="T579" t="s">
        <v>14</v>
      </c>
      <c r="U579" t="s">
        <v>19</v>
      </c>
    </row>
    <row r="580" spans="1:21" hidden="1" x14ac:dyDescent="0.25">
      <c r="A580" t="s">
        <v>121</v>
      </c>
      <c r="B580">
        <v>35.181158000000003</v>
      </c>
      <c r="C580">
        <v>-96.524850000000001</v>
      </c>
      <c r="D580" t="s">
        <v>270</v>
      </c>
      <c r="E580" t="s">
        <v>240</v>
      </c>
      <c r="F580" t="s">
        <v>11</v>
      </c>
      <c r="G580" t="s">
        <v>225</v>
      </c>
      <c r="H580">
        <v>3</v>
      </c>
      <c r="I580" t="s">
        <v>23</v>
      </c>
      <c r="J580" t="s">
        <v>22</v>
      </c>
      <c r="K580" s="2">
        <v>2.0649999999999999</v>
      </c>
      <c r="L580">
        <v>28</v>
      </c>
      <c r="M580" t="s">
        <v>16</v>
      </c>
      <c r="N580" t="s">
        <v>31</v>
      </c>
      <c r="O580" s="3">
        <v>37187</v>
      </c>
      <c r="P580" s="3">
        <v>45221</v>
      </c>
      <c r="Q580" s="1">
        <v>0.27547048567870486</v>
      </c>
      <c r="R580" s="7">
        <v>22.010958904109589</v>
      </c>
      <c r="S580">
        <v>165</v>
      </c>
      <c r="T580" s="2">
        <v>210.4526301369863</v>
      </c>
      <c r="U580" t="s">
        <v>21</v>
      </c>
    </row>
    <row r="581" spans="1:21" hidden="1" x14ac:dyDescent="0.25">
      <c r="A581" t="s">
        <v>121</v>
      </c>
      <c r="B581">
        <v>35.181158000000003</v>
      </c>
      <c r="C581">
        <v>-96.524850000000001</v>
      </c>
      <c r="D581" t="s">
        <v>270</v>
      </c>
      <c r="E581" t="s">
        <v>240</v>
      </c>
      <c r="F581" t="s">
        <v>11</v>
      </c>
      <c r="G581" t="s">
        <v>223</v>
      </c>
      <c r="H581">
        <v>0</v>
      </c>
      <c r="I581" t="s">
        <v>15</v>
      </c>
      <c r="J581" t="s">
        <v>14</v>
      </c>
      <c r="K581" t="s">
        <v>15</v>
      </c>
      <c r="L581">
        <v>29</v>
      </c>
      <c r="M581" t="s">
        <v>17</v>
      </c>
      <c r="N581" t="s">
        <v>31</v>
      </c>
      <c r="O581" s="3">
        <v>37187</v>
      </c>
      <c r="P581" s="3">
        <v>44047</v>
      </c>
      <c r="Q581" s="1" t="s">
        <v>14</v>
      </c>
      <c r="R581" s="7">
        <v>18.794520547945204</v>
      </c>
      <c r="S581" t="s">
        <v>14</v>
      </c>
      <c r="T581" t="s">
        <v>14</v>
      </c>
      <c r="U581" t="s">
        <v>24</v>
      </c>
    </row>
    <row r="582" spans="1:21" hidden="1" x14ac:dyDescent="0.25">
      <c r="A582" t="s">
        <v>121</v>
      </c>
      <c r="B582">
        <v>35.181158000000003</v>
      </c>
      <c r="C582">
        <v>-96.524850000000001</v>
      </c>
      <c r="D582" t="s">
        <v>270</v>
      </c>
      <c r="E582" t="s">
        <v>240</v>
      </c>
      <c r="F582" t="s">
        <v>11</v>
      </c>
      <c r="G582" t="s">
        <v>226</v>
      </c>
      <c r="H582">
        <v>0</v>
      </c>
      <c r="I582" t="s">
        <v>15</v>
      </c>
      <c r="J582" t="s">
        <v>14</v>
      </c>
      <c r="K582" t="s">
        <v>15</v>
      </c>
      <c r="L582">
        <v>17</v>
      </c>
      <c r="M582" t="s">
        <v>33</v>
      </c>
      <c r="N582" t="s">
        <v>16</v>
      </c>
      <c r="O582" s="3">
        <v>37895</v>
      </c>
      <c r="P582" s="3">
        <v>44047</v>
      </c>
      <c r="Q582" s="1" t="s">
        <v>14</v>
      </c>
      <c r="R582" s="7">
        <v>16.854794520547944</v>
      </c>
      <c r="S582" t="s">
        <v>14</v>
      </c>
      <c r="T582" t="s">
        <v>14</v>
      </c>
      <c r="U582" t="s">
        <v>27</v>
      </c>
    </row>
    <row r="583" spans="1:21" hidden="1" x14ac:dyDescent="0.25">
      <c r="A583" t="s">
        <v>122</v>
      </c>
      <c r="B583">
        <v>34.940133000000003</v>
      </c>
      <c r="C583">
        <v>-94.724117000000007</v>
      </c>
      <c r="D583" t="s">
        <v>287</v>
      </c>
      <c r="E583" t="s">
        <v>240</v>
      </c>
      <c r="F583" t="s">
        <v>11</v>
      </c>
      <c r="G583" t="s">
        <v>221</v>
      </c>
      <c r="H583">
        <v>3</v>
      </c>
      <c r="I583" t="s">
        <v>23</v>
      </c>
      <c r="J583" s="4" t="s">
        <v>22</v>
      </c>
      <c r="K583">
        <v>0.80100000000000005</v>
      </c>
      <c r="L583">
        <v>40</v>
      </c>
      <c r="M583" t="s">
        <v>16</v>
      </c>
      <c r="N583" t="s">
        <v>17</v>
      </c>
      <c r="O583" s="3">
        <v>37579</v>
      </c>
      <c r="P583" s="3">
        <v>44908</v>
      </c>
      <c r="Q583" s="1">
        <v>1.3403034246575343</v>
      </c>
      <c r="R583" s="7">
        <v>20.079452054794519</v>
      </c>
      <c r="S583">
        <v>12</v>
      </c>
      <c r="T583" s="2">
        <v>28.08364109589041</v>
      </c>
      <c r="U583" t="s">
        <v>13</v>
      </c>
    </row>
    <row r="584" spans="1:21" hidden="1" x14ac:dyDescent="0.25">
      <c r="A584" t="s">
        <v>122</v>
      </c>
      <c r="B584">
        <v>34.940133000000003</v>
      </c>
      <c r="C584">
        <v>-94.724117000000007</v>
      </c>
      <c r="D584" t="s">
        <v>287</v>
      </c>
      <c r="E584" t="s">
        <v>240</v>
      </c>
      <c r="F584" t="s">
        <v>11</v>
      </c>
      <c r="G584" t="s">
        <v>222</v>
      </c>
      <c r="H584">
        <v>3</v>
      </c>
      <c r="I584" t="s">
        <v>23</v>
      </c>
      <c r="J584" s="4" t="s">
        <v>22</v>
      </c>
      <c r="K584">
        <v>1.153E-2</v>
      </c>
      <c r="L584">
        <v>44</v>
      </c>
      <c r="M584" t="s">
        <v>16</v>
      </c>
      <c r="N584" t="s">
        <v>17</v>
      </c>
      <c r="O584" s="3">
        <v>36472</v>
      </c>
      <c r="P584" s="3">
        <v>44872</v>
      </c>
      <c r="Q584" s="1">
        <v>0.48245080946450802</v>
      </c>
      <c r="R584" s="7">
        <v>23.013698630136986</v>
      </c>
      <c r="S584">
        <v>0.55000000000000004</v>
      </c>
      <c r="T584" s="2">
        <v>0.81534794520547949</v>
      </c>
      <c r="U584" t="s">
        <v>24</v>
      </c>
    </row>
    <row r="585" spans="1:21" hidden="1" x14ac:dyDescent="0.25">
      <c r="A585" t="s">
        <v>122</v>
      </c>
      <c r="B585">
        <v>34.940133000000003</v>
      </c>
      <c r="C585">
        <v>-94.724117000000007</v>
      </c>
      <c r="D585" t="s">
        <v>287</v>
      </c>
      <c r="E585" t="s">
        <v>240</v>
      </c>
      <c r="F585" t="s">
        <v>11</v>
      </c>
      <c r="G585" t="s">
        <v>224</v>
      </c>
      <c r="H585">
        <v>0</v>
      </c>
      <c r="I585" t="s">
        <v>15</v>
      </c>
      <c r="J585" s="5" t="s">
        <v>14</v>
      </c>
      <c r="K585" t="s">
        <v>15</v>
      </c>
      <c r="L585">
        <v>31</v>
      </c>
      <c r="M585" t="s">
        <v>33</v>
      </c>
      <c r="N585" t="s">
        <v>17</v>
      </c>
      <c r="O585" s="3">
        <v>38272</v>
      </c>
      <c r="P585" s="3">
        <v>44872</v>
      </c>
      <c r="Q585" s="1" t="s">
        <v>14</v>
      </c>
      <c r="R585" s="7">
        <v>18.082191780821919</v>
      </c>
      <c r="S585" t="s">
        <v>14</v>
      </c>
      <c r="T585" t="s">
        <v>14</v>
      </c>
      <c r="U585" t="s">
        <v>19</v>
      </c>
    </row>
    <row r="586" spans="1:21" hidden="1" x14ac:dyDescent="0.25">
      <c r="A586" t="s">
        <v>122</v>
      </c>
      <c r="B586">
        <v>34.940133000000003</v>
      </c>
      <c r="C586">
        <v>-94.724117000000007</v>
      </c>
      <c r="D586" t="s">
        <v>287</v>
      </c>
      <c r="E586" t="s">
        <v>240</v>
      </c>
      <c r="F586" t="s">
        <v>11</v>
      </c>
      <c r="G586" t="s">
        <v>225</v>
      </c>
      <c r="H586">
        <v>3</v>
      </c>
      <c r="I586" t="s">
        <v>23</v>
      </c>
      <c r="J586" t="s">
        <v>22</v>
      </c>
      <c r="K586" s="2">
        <v>0.77</v>
      </c>
      <c r="L586">
        <v>40</v>
      </c>
      <c r="M586" t="s">
        <v>16</v>
      </c>
      <c r="N586" t="s">
        <v>33</v>
      </c>
      <c r="O586" s="3">
        <v>36472</v>
      </c>
      <c r="P586" s="3">
        <v>44872</v>
      </c>
      <c r="Q586" s="1">
        <v>0.29534246575342471</v>
      </c>
      <c r="R586" s="7">
        <v>23.013698630136986</v>
      </c>
      <c r="S586">
        <v>60</v>
      </c>
      <c r="T586" s="2">
        <v>77.720547945205482</v>
      </c>
      <c r="U586" t="s">
        <v>21</v>
      </c>
    </row>
    <row r="587" spans="1:21" hidden="1" x14ac:dyDescent="0.25">
      <c r="A587" t="s">
        <v>122</v>
      </c>
      <c r="B587">
        <v>34.940133000000003</v>
      </c>
      <c r="C587">
        <v>-94.724117000000007</v>
      </c>
      <c r="D587" t="s">
        <v>287</v>
      </c>
      <c r="E587" t="s">
        <v>240</v>
      </c>
      <c r="F587" t="s">
        <v>11</v>
      </c>
      <c r="G587" t="s">
        <v>223</v>
      </c>
      <c r="H587">
        <v>0</v>
      </c>
      <c r="I587" t="s">
        <v>15</v>
      </c>
      <c r="J587" t="s">
        <v>14</v>
      </c>
      <c r="K587" t="s">
        <v>15</v>
      </c>
      <c r="L587">
        <v>44</v>
      </c>
      <c r="M587" t="s">
        <v>16</v>
      </c>
      <c r="N587" t="s">
        <v>17</v>
      </c>
      <c r="O587" s="3">
        <v>36472</v>
      </c>
      <c r="P587" s="3">
        <v>44872</v>
      </c>
      <c r="Q587" s="1" t="s">
        <v>14</v>
      </c>
      <c r="R587" s="7">
        <v>23.013698630136986</v>
      </c>
      <c r="S587" t="s">
        <v>14</v>
      </c>
      <c r="T587" t="s">
        <v>14</v>
      </c>
      <c r="U587" t="s">
        <v>24</v>
      </c>
    </row>
    <row r="588" spans="1:21" hidden="1" x14ac:dyDescent="0.25">
      <c r="A588" t="s">
        <v>122</v>
      </c>
      <c r="B588">
        <v>34.940133000000003</v>
      </c>
      <c r="C588">
        <v>-94.724117000000007</v>
      </c>
      <c r="D588" t="s">
        <v>287</v>
      </c>
      <c r="E588" t="s">
        <v>240</v>
      </c>
      <c r="F588" t="s">
        <v>11</v>
      </c>
      <c r="G588" t="s">
        <v>226</v>
      </c>
      <c r="H588">
        <v>-2</v>
      </c>
      <c r="I588" t="s">
        <v>29</v>
      </c>
      <c r="J588" s="4" t="s">
        <v>34</v>
      </c>
      <c r="K588">
        <v>-0.62019999999999997</v>
      </c>
      <c r="L588">
        <v>32</v>
      </c>
      <c r="M588" t="s">
        <v>16</v>
      </c>
      <c r="N588" t="s">
        <v>31</v>
      </c>
      <c r="O588" s="3">
        <v>38272</v>
      </c>
      <c r="P588" s="3">
        <v>44905</v>
      </c>
      <c r="Q588" s="1">
        <v>-0.37568827397260274</v>
      </c>
      <c r="R588" s="7">
        <v>18.172602739726027</v>
      </c>
      <c r="S588">
        <v>30</v>
      </c>
      <c r="T588" s="2">
        <v>18.729351780821919</v>
      </c>
      <c r="U588" t="s">
        <v>27</v>
      </c>
    </row>
    <row r="589" spans="1:21" hidden="1" x14ac:dyDescent="0.25">
      <c r="A589" t="s">
        <v>123</v>
      </c>
      <c r="B589">
        <v>36.256340000000002</v>
      </c>
      <c r="C589">
        <v>-95.102314000000007</v>
      </c>
      <c r="D589" t="s">
        <v>271</v>
      </c>
      <c r="E589" t="s">
        <v>240</v>
      </c>
      <c r="F589" t="s">
        <v>11</v>
      </c>
      <c r="G589" t="s">
        <v>221</v>
      </c>
      <c r="H589">
        <v>0</v>
      </c>
      <c r="I589" t="s">
        <v>15</v>
      </c>
      <c r="J589" s="4" t="s">
        <v>14</v>
      </c>
      <c r="K589" t="s">
        <v>15</v>
      </c>
      <c r="L589">
        <v>41</v>
      </c>
      <c r="O589" s="3">
        <v>37572</v>
      </c>
      <c r="P589" s="3">
        <v>44844</v>
      </c>
      <c r="Q589" s="1" t="s">
        <v>14</v>
      </c>
      <c r="R589" s="7">
        <v>19.923287671232877</v>
      </c>
      <c r="S589" t="s">
        <v>14</v>
      </c>
      <c r="T589" t="s">
        <v>14</v>
      </c>
      <c r="U589" t="s">
        <v>13</v>
      </c>
    </row>
    <row r="590" spans="1:21" hidden="1" x14ac:dyDescent="0.25">
      <c r="A590" t="s">
        <v>123</v>
      </c>
      <c r="B590">
        <v>36.256340000000002</v>
      </c>
      <c r="C590">
        <v>-95.102314000000007</v>
      </c>
      <c r="D590" t="s">
        <v>271</v>
      </c>
      <c r="E590" t="s">
        <v>240</v>
      </c>
      <c r="F590" t="s">
        <v>11</v>
      </c>
      <c r="G590" t="s">
        <v>222</v>
      </c>
      <c r="H590">
        <v>0</v>
      </c>
      <c r="I590" t="s">
        <v>15</v>
      </c>
      <c r="J590" t="s">
        <v>14</v>
      </c>
      <c r="K590" t="s">
        <v>15</v>
      </c>
      <c r="L590">
        <v>46</v>
      </c>
      <c r="O590" s="3">
        <v>36438</v>
      </c>
      <c r="P590" s="3">
        <v>44844</v>
      </c>
      <c r="Q590" s="1" t="s">
        <v>14</v>
      </c>
      <c r="R590" s="7">
        <v>23.030136986301368</v>
      </c>
      <c r="S590" t="s">
        <v>14</v>
      </c>
      <c r="T590" t="s">
        <v>14</v>
      </c>
      <c r="U590" t="s">
        <v>24</v>
      </c>
    </row>
    <row r="591" spans="1:21" hidden="1" x14ac:dyDescent="0.25">
      <c r="A591" t="s">
        <v>123</v>
      </c>
      <c r="B591">
        <v>36.256340000000002</v>
      </c>
      <c r="C591">
        <v>-95.102314000000007</v>
      </c>
      <c r="D591" t="s">
        <v>271</v>
      </c>
      <c r="E591" t="s">
        <v>240</v>
      </c>
      <c r="F591" t="s">
        <v>11</v>
      </c>
      <c r="G591" t="s">
        <v>224</v>
      </c>
      <c r="H591">
        <v>0</v>
      </c>
      <c r="I591" t="s">
        <v>15</v>
      </c>
      <c r="J591" s="5" t="s">
        <v>14</v>
      </c>
      <c r="K591" t="s">
        <v>15</v>
      </c>
      <c r="L591">
        <v>22</v>
      </c>
      <c r="O591" s="3">
        <v>38264</v>
      </c>
      <c r="P591" s="3">
        <v>44844</v>
      </c>
      <c r="Q591" s="1" t="s">
        <v>14</v>
      </c>
      <c r="R591" s="7">
        <v>18.027397260273972</v>
      </c>
      <c r="S591" t="s">
        <v>14</v>
      </c>
      <c r="T591" t="s">
        <v>14</v>
      </c>
      <c r="U591" t="s">
        <v>19</v>
      </c>
    </row>
    <row r="592" spans="1:21" hidden="1" x14ac:dyDescent="0.25">
      <c r="A592" t="s">
        <v>123</v>
      </c>
      <c r="B592">
        <v>36.256340000000002</v>
      </c>
      <c r="C592">
        <v>-95.102314000000007</v>
      </c>
      <c r="D592" t="s">
        <v>271</v>
      </c>
      <c r="E592" t="s">
        <v>240</v>
      </c>
      <c r="F592" t="s">
        <v>11</v>
      </c>
      <c r="G592" t="s">
        <v>225</v>
      </c>
      <c r="H592">
        <v>3</v>
      </c>
      <c r="I592" t="s">
        <v>23</v>
      </c>
      <c r="J592" t="s">
        <v>22</v>
      </c>
      <c r="K592" s="2">
        <v>3.9489999999999998</v>
      </c>
      <c r="L592">
        <v>26</v>
      </c>
      <c r="M592" t="s">
        <v>16</v>
      </c>
      <c r="N592" t="s">
        <v>33</v>
      </c>
      <c r="O592" s="3">
        <v>36438</v>
      </c>
      <c r="P592" s="3">
        <v>42605</v>
      </c>
      <c r="Q592" s="1">
        <v>0.32547254259939856</v>
      </c>
      <c r="R592" s="7">
        <v>16.895890410958906</v>
      </c>
      <c r="S592">
        <v>205</v>
      </c>
      <c r="T592" s="2">
        <v>271.72187123287671</v>
      </c>
      <c r="U592" t="s">
        <v>21</v>
      </c>
    </row>
    <row r="593" spans="1:21" hidden="1" x14ac:dyDescent="0.25">
      <c r="A593" t="s">
        <v>123</v>
      </c>
      <c r="B593">
        <v>36.256340000000002</v>
      </c>
      <c r="C593">
        <v>-95.102314000000007</v>
      </c>
      <c r="D593" t="s">
        <v>271</v>
      </c>
      <c r="E593" t="s">
        <v>240</v>
      </c>
      <c r="F593" t="s">
        <v>11</v>
      </c>
      <c r="G593" t="s">
        <v>223</v>
      </c>
      <c r="H593">
        <v>0</v>
      </c>
      <c r="I593" t="s">
        <v>15</v>
      </c>
      <c r="J593" t="s">
        <v>14</v>
      </c>
      <c r="K593" t="s">
        <v>15</v>
      </c>
      <c r="L593">
        <v>46</v>
      </c>
      <c r="O593" s="3">
        <v>36438</v>
      </c>
      <c r="P593" s="3">
        <v>44844</v>
      </c>
      <c r="Q593" s="1" t="s">
        <v>14</v>
      </c>
      <c r="R593" s="7">
        <v>23.030136986301368</v>
      </c>
      <c r="S593" t="s">
        <v>14</v>
      </c>
      <c r="T593" t="s">
        <v>14</v>
      </c>
      <c r="U593" t="s">
        <v>24</v>
      </c>
    </row>
    <row r="594" spans="1:21" hidden="1" x14ac:dyDescent="0.25">
      <c r="A594" t="s">
        <v>123</v>
      </c>
      <c r="B594">
        <v>36.256340000000002</v>
      </c>
      <c r="C594">
        <v>-95.102314000000007</v>
      </c>
      <c r="D594" t="s">
        <v>271</v>
      </c>
      <c r="E594" t="s">
        <v>240</v>
      </c>
      <c r="F594" t="s">
        <v>11</v>
      </c>
      <c r="G594" t="s">
        <v>226</v>
      </c>
      <c r="H594">
        <v>0</v>
      </c>
      <c r="I594" t="s">
        <v>15</v>
      </c>
      <c r="J594" t="s">
        <v>14</v>
      </c>
      <c r="K594" t="s">
        <v>15</v>
      </c>
      <c r="L594">
        <v>28</v>
      </c>
      <c r="O594" s="3">
        <v>38264</v>
      </c>
      <c r="P594" s="3">
        <v>44844</v>
      </c>
      <c r="Q594" s="1" t="s">
        <v>14</v>
      </c>
      <c r="R594" s="7">
        <v>18.027397260273972</v>
      </c>
      <c r="S594" t="s">
        <v>14</v>
      </c>
      <c r="T594" t="s">
        <v>14</v>
      </c>
      <c r="U594" t="s">
        <v>27</v>
      </c>
    </row>
  </sheetData>
  <autoFilter ref="A1:T594" xr:uid="{6E95389B-9B91-4ACA-A1F0-8EEE721DE03C}">
    <filterColumn colId="0">
      <filters>
        <filter val="Thunderbird"/>
      </filters>
    </filterColumn>
    <sortState xmlns:xlrd2="http://schemas.microsoft.com/office/spreadsheetml/2017/richdata2" ref="A2:T594">
      <sortCondition ref="A2:A594"/>
      <sortCondition ref="G2:G5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AAE7-B70D-46F7-823B-E67BA9104805}">
  <dimension ref="A1:A4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216</v>
      </c>
    </row>
    <row r="4" spans="1:1" x14ac:dyDescent="0.25">
      <c r="A4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Info</vt:lpstr>
      <vt:lpstr>Info for Dashboard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 Porter</dc:creator>
  <cp:lastModifiedBy>Jordon Henderson</cp:lastModifiedBy>
  <dcterms:created xsi:type="dcterms:W3CDTF">2025-05-20T13:09:30Z</dcterms:created>
  <dcterms:modified xsi:type="dcterms:W3CDTF">2026-04-22T21:38:48Z</dcterms:modified>
</cp:coreProperties>
</file>