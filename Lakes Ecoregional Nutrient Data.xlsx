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WaterQuality\Monitoring\Data Management\604 (b) Grants\Eutrophication Education Work\"/>
    </mc:Choice>
  </mc:AlternateContent>
  <xr:revisionPtr revIDLastSave="0" documentId="13_ncr:1_{B29E165F-FA01-4976-A821-717ABA80C921}" xr6:coauthVersionLast="47" xr6:coauthVersionMax="47" xr10:uidLastSave="{00000000-0000-0000-0000-000000000000}"/>
  <bookViews>
    <workbookView xWindow="28680" yWindow="1395" windowWidth="29040" windowHeight="15720" tabRatio="314" xr2:uid="{00000000-000D-0000-FFFF-FFFF00000000}"/>
  </bookViews>
  <sheets>
    <sheet name="Lakes of Oklahoma Data" sheetId="1" r:id="rId1"/>
    <sheet name="Sheet2" sheetId="3" r:id="rId2"/>
    <sheet name="Sheet1" sheetId="2" r:id="rId3"/>
  </sheets>
  <definedNames>
    <definedName name="_xlnm._FilterDatabase" localSheetId="0" hidden="1">'Lakes of Oklahoma Data'!$A$1:$R$148</definedName>
    <definedName name="_xlnm._FilterDatabase" localSheetId="1" hidden="1">Sheet2!$A$1:$B$78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2" i="1"/>
  <c r="F50" i="1"/>
  <c r="F26" i="1"/>
  <c r="F2" i="1"/>
  <c r="F33" i="1"/>
  <c r="F37" i="1"/>
  <c r="F53" i="1"/>
  <c r="F57" i="1"/>
  <c r="F77" i="1"/>
  <c r="F65" i="1"/>
  <c r="F29" i="1"/>
  <c r="F72" i="1"/>
  <c r="F47" i="1"/>
  <c r="F134" i="1"/>
  <c r="F68" i="1"/>
  <c r="F36" i="1"/>
  <c r="F63" i="1"/>
  <c r="F76" i="1"/>
  <c r="F120" i="1"/>
  <c r="F24" i="1"/>
  <c r="F55" i="1"/>
  <c r="F89" i="1"/>
  <c r="F16" i="1"/>
  <c r="F122" i="1"/>
  <c r="F23" i="1"/>
  <c r="F79" i="1"/>
  <c r="F45" i="1"/>
  <c r="F75" i="1"/>
  <c r="F145" i="1"/>
  <c r="F94" i="1"/>
  <c r="F84" i="1"/>
  <c r="F123" i="1"/>
  <c r="F13" i="1"/>
  <c r="F71" i="1"/>
  <c r="F107" i="1"/>
  <c r="F66" i="1"/>
  <c r="F112" i="1"/>
  <c r="F106" i="1"/>
  <c r="F8" i="1"/>
  <c r="F125" i="1"/>
  <c r="F96" i="1"/>
  <c r="F144" i="1"/>
  <c r="F91" i="1"/>
  <c r="F141" i="1"/>
  <c r="F74" i="1"/>
  <c r="F83" i="1"/>
  <c r="F143" i="1"/>
  <c r="F127" i="1"/>
  <c r="F113" i="1"/>
  <c r="F137" i="1"/>
  <c r="F10" i="1"/>
  <c r="F20" i="1"/>
  <c r="F32" i="1"/>
  <c r="F97" i="1"/>
  <c r="F17" i="1"/>
  <c r="F67" i="1"/>
  <c r="F105" i="1"/>
  <c r="F18" i="1"/>
  <c r="F52" i="1"/>
  <c r="F87" i="1"/>
  <c r="F98" i="1"/>
  <c r="F146" i="1"/>
  <c r="F81" i="1"/>
  <c r="F19" i="1"/>
  <c r="F102" i="1"/>
  <c r="F25" i="1"/>
  <c r="F90" i="1"/>
  <c r="F39" i="1"/>
  <c r="F5" i="1"/>
  <c r="F40" i="1"/>
  <c r="F99" i="1"/>
  <c r="F92" i="1"/>
  <c r="F60" i="1"/>
  <c r="F49" i="1"/>
  <c r="F4" i="1"/>
  <c r="F43" i="1"/>
  <c r="F70" i="1"/>
  <c r="F117" i="1"/>
  <c r="F69" i="1"/>
  <c r="F80" i="1"/>
  <c r="F85" i="1"/>
  <c r="F46" i="1"/>
  <c r="F48" i="1"/>
  <c r="F11" i="1"/>
  <c r="F101" i="1"/>
  <c r="F34" i="1"/>
  <c r="F22" i="1"/>
  <c r="D5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2" i="3"/>
  <c r="D9" i="2"/>
  <c r="D10" i="2"/>
  <c r="D11" i="2"/>
  <c r="D12" i="2"/>
  <c r="D14" i="2"/>
  <c r="D16" i="2"/>
  <c r="D17" i="2"/>
  <c r="D19" i="2"/>
  <c r="D21" i="2"/>
  <c r="D24" i="2"/>
  <c r="D25" i="2"/>
  <c r="D28" i="2"/>
  <c r="D31" i="2"/>
  <c r="D34" i="2"/>
  <c r="D38" i="2"/>
  <c r="D39" i="2"/>
  <c r="D41" i="2"/>
  <c r="D42" i="2"/>
  <c r="D43" i="2"/>
  <c r="D45" i="2"/>
  <c r="D50" i="2"/>
  <c r="D51" i="2"/>
  <c r="D54" i="2"/>
  <c r="D56" i="2"/>
  <c r="D58" i="2"/>
  <c r="D59" i="2"/>
  <c r="D61" i="2"/>
  <c r="D62" i="2"/>
  <c r="D63" i="2"/>
  <c r="D65" i="2"/>
  <c r="D66" i="2"/>
  <c r="D68" i="2"/>
  <c r="D72" i="2"/>
  <c r="D73" i="2"/>
  <c r="D74" i="2"/>
  <c r="D75" i="2"/>
  <c r="D77" i="2"/>
  <c r="D80" i="2"/>
  <c r="D81" i="2"/>
  <c r="D82" i="2"/>
  <c r="D83" i="2"/>
  <c r="D6" i="2"/>
</calcChain>
</file>

<file path=xl/sharedStrings.xml><?xml version="1.0" encoding="utf-8"?>
<sst xmlns="http://schemas.openxmlformats.org/spreadsheetml/2006/main" count="1410" uniqueCount="491">
  <si>
    <t>City of Altus</t>
  </si>
  <si>
    <t>Southwest</t>
  </si>
  <si>
    <t>Jackson</t>
  </si>
  <si>
    <t>Stinking Creek Tributary</t>
  </si>
  <si>
    <t>OK Dept. of Wildlife</t>
  </si>
  <si>
    <t>West Central</t>
  </si>
  <si>
    <t>Blaine</t>
  </si>
  <si>
    <t>Canadian River Tributary</t>
  </si>
  <si>
    <t>Bureau of Reclamation</t>
  </si>
  <si>
    <t>Lower Washita</t>
  </si>
  <si>
    <t>Murray</t>
  </si>
  <si>
    <t>Rock Creek</t>
  </si>
  <si>
    <t>Army Corps of Engineers</t>
  </si>
  <si>
    <t>Central</t>
  </si>
  <si>
    <t>Oklahoma</t>
  </si>
  <si>
    <t>Deep Fork River</t>
  </si>
  <si>
    <t>City of Ardmore</t>
  </si>
  <si>
    <t>Carter</t>
  </si>
  <si>
    <t>Caddo Creek</t>
  </si>
  <si>
    <t>City of Oklahoma City</t>
  </si>
  <si>
    <t>Blue-Boggy</t>
  </si>
  <si>
    <t>Atoka</t>
  </si>
  <si>
    <t>North Boggy Creek</t>
  </si>
  <si>
    <t>City of Chandler</t>
  </si>
  <si>
    <t>Lincoln</t>
  </si>
  <si>
    <t>Bell Cow Creek</t>
  </si>
  <si>
    <t>Middle Arkansas</t>
  </si>
  <si>
    <t>Osage</t>
  </si>
  <si>
    <t>Birch Creek</t>
  </si>
  <si>
    <t>City of Bixby</t>
  </si>
  <si>
    <t>Wagoner</t>
  </si>
  <si>
    <t>Mountain Creek</t>
  </si>
  <si>
    <t>City of Pawhuska</t>
  </si>
  <si>
    <t>Middle Bird Creek</t>
  </si>
  <si>
    <t>City of Stillwater</t>
  </si>
  <si>
    <t>Upper Arkansas</t>
  </si>
  <si>
    <t>Payne</t>
  </si>
  <si>
    <t>Boomer Creek</t>
  </si>
  <si>
    <t>Southeast</t>
  </si>
  <si>
    <t>McCurtain</t>
  </si>
  <si>
    <t>Mountain Fork River</t>
  </si>
  <si>
    <t>State of OK (leased)</t>
  </si>
  <si>
    <t>Lower Arkansas</t>
  </si>
  <si>
    <t>Sequoyah</t>
  </si>
  <si>
    <t>Brushy Creek</t>
  </si>
  <si>
    <t>Grady</t>
  </si>
  <si>
    <t>East Bills Creek</t>
  </si>
  <si>
    <t>Panhandle</t>
  </si>
  <si>
    <t>North Canadian River</t>
  </si>
  <si>
    <t>City of Talihina</t>
  </si>
  <si>
    <t>Latimer</t>
  </si>
  <si>
    <t>OK State University</t>
  </si>
  <si>
    <t>Stillwater Creek</t>
  </si>
  <si>
    <t>Cimarron</t>
  </si>
  <si>
    <t>South Carrizo Creek</t>
  </si>
  <si>
    <t>State of OK</t>
  </si>
  <si>
    <t>Fourche-Maline</t>
  </si>
  <si>
    <t>City of Madill</t>
  </si>
  <si>
    <t>Marshall</t>
  </si>
  <si>
    <t>Glasses Creek Tributary</t>
  </si>
  <si>
    <t>US Dept. of Agriculture</t>
  </si>
  <si>
    <t>LeFlore</t>
  </si>
  <si>
    <t>Cedar Creek</t>
  </si>
  <si>
    <t>Bellcalf Creek</t>
  </si>
  <si>
    <t>City of Chickasha</t>
  </si>
  <si>
    <t>Caddo</t>
  </si>
  <si>
    <t>Spring Creek</t>
  </si>
  <si>
    <t>City of Claremore</t>
  </si>
  <si>
    <t>Rogers</t>
  </si>
  <si>
    <t>Dog Creek</t>
  </si>
  <si>
    <t>Pushmataha</t>
  </si>
  <si>
    <t>Peal Creek</t>
  </si>
  <si>
    <t>City of Duncan</t>
  </si>
  <si>
    <t>Stephens</t>
  </si>
  <si>
    <t>Clear Creek</t>
  </si>
  <si>
    <t>City of Cleveland</t>
  </si>
  <si>
    <t>Pawnee</t>
  </si>
  <si>
    <t>Ranch Creek</t>
  </si>
  <si>
    <t>City of Clinton</t>
  </si>
  <si>
    <t>Washita</t>
  </si>
  <si>
    <t>Turkey Creek</t>
  </si>
  <si>
    <t>City of Coalgate</t>
  </si>
  <si>
    <t>Coal</t>
  </si>
  <si>
    <t>Coon Creek</t>
  </si>
  <si>
    <t>City of Comanche</t>
  </si>
  <si>
    <t>Deer Creek Tributary</t>
  </si>
  <si>
    <t>Washington</t>
  </si>
  <si>
    <t>Little Caney River</t>
  </si>
  <si>
    <t>State of OK (operated)</t>
  </si>
  <si>
    <t>Cobb Creek</t>
  </si>
  <si>
    <t>City of Cushing</t>
  </si>
  <si>
    <t>Big Creek</t>
  </si>
  <si>
    <t>Cleveland</t>
  </si>
  <si>
    <t>Helsel Creek</t>
  </si>
  <si>
    <t>City of Walters</t>
  </si>
  <si>
    <t>Beaver-Cache</t>
  </si>
  <si>
    <t>Cotton</t>
  </si>
  <si>
    <t>East Cache Creek Tributary</t>
  </si>
  <si>
    <t>City of Cheyenne</t>
  </si>
  <si>
    <t>Roger Mills</t>
  </si>
  <si>
    <t>Dead Warrior Creek</t>
  </si>
  <si>
    <t>City of Okmulgee</t>
  </si>
  <si>
    <t>Eufaula</t>
  </si>
  <si>
    <t>Okmulgee</t>
  </si>
  <si>
    <t>Salt Creek</t>
  </si>
  <si>
    <t>Fitzpatrick Creek</t>
  </si>
  <si>
    <t>City of Durant</t>
  </si>
  <si>
    <t>Bryan</t>
  </si>
  <si>
    <t>Little Blue River</t>
  </si>
  <si>
    <t>City of El Reno</t>
  </si>
  <si>
    <t>Canadian</t>
  </si>
  <si>
    <t>Fourmile Creek</t>
  </si>
  <si>
    <t>City of Elk City</t>
  </si>
  <si>
    <t>Beckham</t>
  </si>
  <si>
    <t>West Elk Creek</t>
  </si>
  <si>
    <t>City of Lawton</t>
  </si>
  <si>
    <t>Comanche</t>
  </si>
  <si>
    <t>East Cache Creek</t>
  </si>
  <si>
    <t>Kingfisher</t>
  </si>
  <si>
    <t>Kingfisher Creek Tributary</t>
  </si>
  <si>
    <t>US Fish &amp; Wildlife</t>
  </si>
  <si>
    <t>Little Medicine Creek</t>
  </si>
  <si>
    <t>City of Tulsa</t>
  </si>
  <si>
    <t>Grand</t>
  </si>
  <si>
    <t>Delaware</t>
  </si>
  <si>
    <t>Spavinaw Creek</t>
  </si>
  <si>
    <t>McIntosh</t>
  </si>
  <si>
    <t>Canadian River</t>
  </si>
  <si>
    <t>Beaver</t>
  </si>
  <si>
    <t>Mexico Creek</t>
  </si>
  <si>
    <t>City of Fairfax</t>
  </si>
  <si>
    <t>Wild Creek</t>
  </si>
  <si>
    <t>Cherokee</t>
  </si>
  <si>
    <t>Grand (Neosho) River</t>
  </si>
  <si>
    <t>Woodward</t>
  </si>
  <si>
    <t>Wolf Creek</t>
  </si>
  <si>
    <t>Custer</t>
  </si>
  <si>
    <t>Washita River</t>
  </si>
  <si>
    <t>City of Frederick</t>
  </si>
  <si>
    <t>Tillman</t>
  </si>
  <si>
    <t>Deep Red Creek</t>
  </si>
  <si>
    <t>Black Bear Creek</t>
  </si>
  <si>
    <t>Grand River Dam Auth.</t>
  </si>
  <si>
    <t>Mayes</t>
  </si>
  <si>
    <t>Alfalfa</t>
  </si>
  <si>
    <t>Salt Fork of the Arkansas River</t>
  </si>
  <si>
    <t>Muskogee</t>
  </si>
  <si>
    <t>Greenleaf Creek</t>
  </si>
  <si>
    <t>City of Guthrie</t>
  </si>
  <si>
    <t>Logan</t>
  </si>
  <si>
    <t>Cottonwood Creek Tributary</t>
  </si>
  <si>
    <t>Harmon</t>
  </si>
  <si>
    <t>City of Healdton</t>
  </si>
  <si>
    <t>Oil Branch Creek</t>
  </si>
  <si>
    <t>Bluff Creek</t>
  </si>
  <si>
    <t>City of Henryetta</t>
  </si>
  <si>
    <t>Creek</t>
  </si>
  <si>
    <t>Polecat Creek</t>
  </si>
  <si>
    <t>City of Hobart</t>
  </si>
  <si>
    <t>Little Elk Creek</t>
  </si>
  <si>
    <t>City of Holdenville</t>
  </si>
  <si>
    <t>Hughes</t>
  </si>
  <si>
    <t>City of Hominy</t>
  </si>
  <si>
    <t>Claremore Creek</t>
  </si>
  <si>
    <t>City of Bartlesville</t>
  </si>
  <si>
    <t>Butler Creek</t>
  </si>
  <si>
    <t>Choctaw</t>
  </si>
  <si>
    <t>Kiamichi River</t>
  </si>
  <si>
    <t>Caney River</t>
  </si>
  <si>
    <t>Wildhorse Creek</t>
  </si>
  <si>
    <t>Jefferson</t>
  </si>
  <si>
    <t>Beaver Creek Tributary</t>
  </si>
  <si>
    <t>Phillips Creek</t>
  </si>
  <si>
    <t>City of Stigler</t>
  </si>
  <si>
    <t>Haskell</t>
  </si>
  <si>
    <t>Sans Bois Creek Tributary</t>
  </si>
  <si>
    <t>Arkansas River</t>
  </si>
  <si>
    <t>Tulsa</t>
  </si>
  <si>
    <t>OG&amp;E</t>
  </si>
  <si>
    <t>Seminole</t>
  </si>
  <si>
    <t>Jumper Creek</t>
  </si>
  <si>
    <t>City of Langston</t>
  </si>
  <si>
    <t>Fitzgerald Creek Tributary</t>
  </si>
  <si>
    <t>Medicine Creek</t>
  </si>
  <si>
    <t>City of Wilburton</t>
  </si>
  <si>
    <t>Bandy Creek Tributary</t>
  </si>
  <si>
    <t>Ellis</t>
  </si>
  <si>
    <t>Tri-County Dev. Auth.</t>
  </si>
  <si>
    <t>Camp Creek</t>
  </si>
  <si>
    <t>Greer</t>
  </si>
  <si>
    <t>North Fork of the Red River</t>
  </si>
  <si>
    <t>City of McAlester</t>
  </si>
  <si>
    <t>Pittsburg</t>
  </si>
  <si>
    <t>Bull Creek</t>
  </si>
  <si>
    <t>McGee Creek</t>
  </si>
  <si>
    <t>Noble</t>
  </si>
  <si>
    <t>North Stillwater Creek</t>
  </si>
  <si>
    <t>City of Meeker</t>
  </si>
  <si>
    <t>South Quapaw Creek</t>
  </si>
  <si>
    <t>Hickory Creek</t>
  </si>
  <si>
    <t>Love</t>
  </si>
  <si>
    <t>Anadarche Creek</t>
  </si>
  <si>
    <t>Kiamichi River Tributary</t>
  </si>
  <si>
    <t>Town of Spiro</t>
  </si>
  <si>
    <t>Holi-Tuska Creek</t>
  </si>
  <si>
    <t>City of Okemah</t>
  </si>
  <si>
    <t>Okfuskee</t>
  </si>
  <si>
    <t>Buckeye Creek</t>
  </si>
  <si>
    <t>Verdigris River</t>
  </si>
  <si>
    <t>City of Pauls Valley</t>
  </si>
  <si>
    <t>Garvin</t>
  </si>
  <si>
    <t>Washington Creek</t>
  </si>
  <si>
    <t>Clear Creek Tributary</t>
  </si>
  <si>
    <t>City of Pawnee</t>
  </si>
  <si>
    <t>Skedee Creek</t>
  </si>
  <si>
    <t>City of Perry</t>
  </si>
  <si>
    <t>Cow Creek</t>
  </si>
  <si>
    <t>Upper Black Bear Creek</t>
  </si>
  <si>
    <t>Little River</t>
  </si>
  <si>
    <t>City of Ponca City</t>
  </si>
  <si>
    <t>Kay</t>
  </si>
  <si>
    <t>City of Prague</t>
  </si>
  <si>
    <t>Sand Creek</t>
  </si>
  <si>
    <t>City of Purcell</t>
  </si>
  <si>
    <t>McClain</t>
  </si>
  <si>
    <t>Walnut Creek Tributary</t>
  </si>
  <si>
    <t>Quanah Creek</t>
  </si>
  <si>
    <t>Keel Sandy Creek</t>
  </si>
  <si>
    <t>Gates Creek</t>
  </si>
  <si>
    <t>City of Sapulpa</t>
  </si>
  <si>
    <t>Jackfork Creek</t>
  </si>
  <si>
    <t>South Fork Holly Creek</t>
  </si>
  <si>
    <t>City of Shawnee</t>
  </si>
  <si>
    <t>Pottawatomie</t>
  </si>
  <si>
    <t>South Deer Creek</t>
  </si>
  <si>
    <t>City of Sand Springs</t>
  </si>
  <si>
    <t>Shell Creek</t>
  </si>
  <si>
    <t>Hominy Creek</t>
  </si>
  <si>
    <t>Greasy Creek</t>
  </si>
  <si>
    <t>City of Seminole</t>
  </si>
  <si>
    <t>Tiger Creek</t>
  </si>
  <si>
    <t>East Elm Creek</t>
  </si>
  <si>
    <t>City of Stilwell</t>
  </si>
  <si>
    <t>Adair</t>
  </si>
  <si>
    <t>Sallisaw Creek Tributary</t>
  </si>
  <si>
    <t>City of Stroud</t>
  </si>
  <si>
    <t>Coal Creek Tributary</t>
  </si>
  <si>
    <t>City of Marlow (leased)</t>
  </si>
  <si>
    <t>Rush Creek</t>
  </si>
  <si>
    <t>City of Tecumseh</t>
  </si>
  <si>
    <t>Squirrel Creek Tributary</t>
  </si>
  <si>
    <t>Illinois River</t>
  </si>
  <si>
    <t>Red River</t>
  </si>
  <si>
    <t>Kiowa</t>
  </si>
  <si>
    <t>West Otter Creek</t>
  </si>
  <si>
    <t>Gyp Creek</t>
  </si>
  <si>
    <t>City of Sulphur</t>
  </si>
  <si>
    <t>Wilson Creek</t>
  </si>
  <si>
    <t>Saline Creek</t>
  </si>
  <si>
    <t>OK Dept of Wildlife</t>
  </si>
  <si>
    <t>Bitter Creek</t>
  </si>
  <si>
    <t>Beaver Creek</t>
  </si>
  <si>
    <t>City of Barnsdall</t>
  </si>
  <si>
    <t>Dog Thresher Creek Tributary</t>
  </si>
  <si>
    <t>City of Weleetka</t>
  </si>
  <si>
    <t>Alabama Creek Tributary</t>
  </si>
  <si>
    <t>Pott. County Dev. Auht.</t>
  </si>
  <si>
    <t>North Deer Creek</t>
  </si>
  <si>
    <t>City of Wetumka</t>
  </si>
  <si>
    <t>North Canadian River Tributary</t>
  </si>
  <si>
    <t>City of Wewoka</t>
  </si>
  <si>
    <t>City of Maysville</t>
  </si>
  <si>
    <t>Gaddis Creek</t>
  </si>
  <si>
    <t>Poteau River</t>
  </si>
  <si>
    <t>Bird Creek Tributary</t>
  </si>
  <si>
    <t>YEAR BUILT</t>
  </si>
  <si>
    <t>AUTHORITY</t>
  </si>
  <si>
    <t>PLANNING REGION</t>
  </si>
  <si>
    <t>COUNTY</t>
  </si>
  <si>
    <t>STREAM</t>
  </si>
  <si>
    <t>LATITUDE</t>
  </si>
  <si>
    <t>LONGITUDE</t>
  </si>
  <si>
    <t>no data</t>
  </si>
  <si>
    <t>not available</t>
  </si>
  <si>
    <t>AG, AES, FW, R</t>
  </si>
  <si>
    <t xml:space="preserve">AG, AES, FW, R, WS </t>
  </si>
  <si>
    <t>AG, AES, FW, R, WS</t>
  </si>
  <si>
    <t xml:space="preserve">AG, AES, FW, R </t>
  </si>
  <si>
    <t>FW, R, AG, AES</t>
  </si>
  <si>
    <t>FW, R, WS, AG, AES</t>
  </si>
  <si>
    <t>FW, R</t>
  </si>
  <si>
    <t>FW, R, WS</t>
  </si>
  <si>
    <t>NORMAL ELEVATION (ft)</t>
  </si>
  <si>
    <t>NORMAL AREA (ac)</t>
  </si>
  <si>
    <t xml:space="preserve">NORMAL CAPACITY (ac-ft) </t>
  </si>
  <si>
    <t>SHORELINE (mi)</t>
  </si>
  <si>
    <t>MAX DEPTH (ft)</t>
  </si>
  <si>
    <t>Salt Fork of the Red River Tributary</t>
  </si>
  <si>
    <t>FW, N, R, WS</t>
  </si>
  <si>
    <t>LAKE NAME</t>
  </si>
  <si>
    <t>Altus City</t>
  </si>
  <si>
    <t>American Horse</t>
  </si>
  <si>
    <t>Arbuckle</t>
  </si>
  <si>
    <t>Arcadia</t>
  </si>
  <si>
    <t>Ardmore City</t>
  </si>
  <si>
    <t>Bell Cow</t>
  </si>
  <si>
    <t>Birch</t>
  </si>
  <si>
    <t>Bixhoma</t>
  </si>
  <si>
    <t>Bluestem</t>
  </si>
  <si>
    <t>Boomer</t>
  </si>
  <si>
    <t>Broken Bow</t>
  </si>
  <si>
    <t>Burtschi</t>
  </si>
  <si>
    <t>Canton</t>
  </si>
  <si>
    <t>Carl Albert</t>
  </si>
  <si>
    <t>Carl Blackwell</t>
  </si>
  <si>
    <t>Carl Etling</t>
  </si>
  <si>
    <t>Carlton</t>
  </si>
  <si>
    <t>Cedar</t>
  </si>
  <si>
    <t>Chandler</t>
  </si>
  <si>
    <t>Chickasha</t>
  </si>
  <si>
    <t>Claremore</t>
  </si>
  <si>
    <t>Clayton</t>
  </si>
  <si>
    <t>Clinton</t>
  </si>
  <si>
    <t>Yahola</t>
  </si>
  <si>
    <t>Wister</t>
  </si>
  <si>
    <t>Wiley Post Memorial</t>
  </si>
  <si>
    <t>Wewoka</t>
  </si>
  <si>
    <t>Wetumka</t>
  </si>
  <si>
    <t>Wes Watkins</t>
  </si>
  <si>
    <t>Weleetka</t>
  </si>
  <si>
    <t>Webbers Falls</t>
  </si>
  <si>
    <t>Wayne Wallace</t>
  </si>
  <si>
    <t>Waxhoma</t>
  </si>
  <si>
    <t>Waurika</t>
  </si>
  <si>
    <t>Watonga</t>
  </si>
  <si>
    <t>W.R. Holway</t>
  </si>
  <si>
    <t>Veterans</t>
  </si>
  <si>
    <t>Vanderwork</t>
  </si>
  <si>
    <t>Tom Steed</t>
  </si>
  <si>
    <t>Thunderbird</t>
  </si>
  <si>
    <t>Texoma</t>
  </si>
  <si>
    <t>Tenkiller</t>
  </si>
  <si>
    <t>Tecumseh</t>
  </si>
  <si>
    <t>Taylor</t>
  </si>
  <si>
    <t>Talawanda 2</t>
  </si>
  <si>
    <t>Talawanda 1</t>
  </si>
  <si>
    <t>Stroud</t>
  </si>
  <si>
    <t>Stilwell City</t>
  </si>
  <si>
    <t>Stanley Draper</t>
  </si>
  <si>
    <t>Sportsman</t>
  </si>
  <si>
    <t>Spavinaw</t>
  </si>
  <si>
    <t>Sooner</t>
  </si>
  <si>
    <t>Skiatook</t>
  </si>
  <si>
    <t>Shell</t>
  </si>
  <si>
    <t>Shawnee Twin 2</t>
  </si>
  <si>
    <t>Shawnee Twin 1</t>
  </si>
  <si>
    <t>Scott King/Rock Creek</t>
  </si>
  <si>
    <t>Schooler</t>
  </si>
  <si>
    <t>Sardis</t>
  </si>
  <si>
    <t>Sahoma</t>
  </si>
  <si>
    <t>Robert S. Kerr</t>
  </si>
  <si>
    <t>Raymond Gary</t>
  </si>
  <si>
    <t>R.C. Longmire</t>
  </si>
  <si>
    <t>Quanah Parker</t>
  </si>
  <si>
    <t>Purcell</t>
  </si>
  <si>
    <t>Prague</t>
  </si>
  <si>
    <t>Ponca</t>
  </si>
  <si>
    <t>Pine Creek</t>
  </si>
  <si>
    <t>Perry CCC</t>
  </si>
  <si>
    <t>Perry</t>
  </si>
  <si>
    <t>Pawhuska</t>
  </si>
  <si>
    <t>Pauls Valley</t>
  </si>
  <si>
    <t>Ozzie Cobb</t>
  </si>
  <si>
    <t>Overholser</t>
  </si>
  <si>
    <t>Oologah</t>
  </si>
  <si>
    <t>Okemah</t>
  </si>
  <si>
    <t>New Spiro</t>
  </si>
  <si>
    <t>Nanih Waiya</t>
  </si>
  <si>
    <t>Mountain</t>
  </si>
  <si>
    <t>Meeker</t>
  </si>
  <si>
    <t>McMurtry</t>
  </si>
  <si>
    <t>McAlester</t>
  </si>
  <si>
    <t>Lugert-Altus</t>
  </si>
  <si>
    <t>Lone Chimney</t>
  </si>
  <si>
    <t>Lloyd Vincent</t>
  </si>
  <si>
    <t>Lloyd Church</t>
  </si>
  <si>
    <t>Liberty</t>
  </si>
  <si>
    <t>Lawtonka</t>
  </si>
  <si>
    <t>Langston</t>
  </si>
  <si>
    <t>Konawa</t>
  </si>
  <si>
    <t>Keystone</t>
  </si>
  <si>
    <t>Kaw</t>
  </si>
  <si>
    <t>John Wells</t>
  </si>
  <si>
    <t>Jean Neustadt</t>
  </si>
  <si>
    <t>Jap Beaver</t>
  </si>
  <si>
    <t>Humphreys</t>
  </si>
  <si>
    <t>Hulah</t>
  </si>
  <si>
    <t>Hugo</t>
  </si>
  <si>
    <t>Hudson/Markham Ferry</t>
  </si>
  <si>
    <t>Hudson/Bartlesville</t>
  </si>
  <si>
    <t>Hominy Municipal</t>
  </si>
  <si>
    <t>Holdenville</t>
  </si>
  <si>
    <t>Hobart/Rocky</t>
  </si>
  <si>
    <t>Heyburn</t>
  </si>
  <si>
    <t>Henryetta/Jim Hall</t>
  </si>
  <si>
    <t>Hefner</t>
  </si>
  <si>
    <t>Coalgate</t>
  </si>
  <si>
    <t>Copan</t>
  </si>
  <si>
    <t>Crowder</t>
  </si>
  <si>
    <t>Cushing</t>
  </si>
  <si>
    <t>Dahlgren</t>
  </si>
  <si>
    <t>Dave Boyer</t>
  </si>
  <si>
    <t>Dead Warrior</t>
  </si>
  <si>
    <t>Dripping Springs</t>
  </si>
  <si>
    <t>Duncan</t>
  </si>
  <si>
    <t>Durant</t>
  </si>
  <si>
    <t>El Reno</t>
  </si>
  <si>
    <t>Elk City</t>
  </si>
  <si>
    <t>Ellsworth</t>
  </si>
  <si>
    <t>Elmer</t>
  </si>
  <si>
    <t>Elmer Thomas</t>
  </si>
  <si>
    <t>Eucha</t>
  </si>
  <si>
    <t>Evan Chambers</t>
  </si>
  <si>
    <t>Fairfax City</t>
  </si>
  <si>
    <t>Fort Cobb</t>
  </si>
  <si>
    <t>Fort Gibson</t>
  </si>
  <si>
    <t>Fort Supply</t>
  </si>
  <si>
    <t>Foss</t>
  </si>
  <si>
    <t>Frederick</t>
  </si>
  <si>
    <t>Fuqua</t>
  </si>
  <si>
    <t>Great Salt Plains</t>
  </si>
  <si>
    <t>Greenleaf</t>
  </si>
  <si>
    <t>Guthrie</t>
  </si>
  <si>
    <t>Hall</t>
  </si>
  <si>
    <t>Healdton City</t>
  </si>
  <si>
    <t>DESIGNATED BENEFICIAL USES*</t>
  </si>
  <si>
    <t>County</t>
  </si>
  <si>
    <t>Ecoregion III</t>
  </si>
  <si>
    <t>Ecoregion IV</t>
  </si>
  <si>
    <t>Central Great Plains</t>
  </si>
  <si>
    <t>Rolling Red Hills</t>
  </si>
  <si>
    <t>Cross Timbers Transition</t>
  </si>
  <si>
    <t>Prairie Tableland</t>
  </si>
  <si>
    <t>Cross Timbers</t>
  </si>
  <si>
    <t>Arbuckle Mts</t>
  </si>
  <si>
    <t>Arbuckle Uplift</t>
  </si>
  <si>
    <t>Boston Mountains</t>
  </si>
  <si>
    <t>Lower Boston Mountains</t>
  </si>
  <si>
    <t>Southwestern Tablelands</t>
  </si>
  <si>
    <t>Mesa de Maya/Black Mesa</t>
  </si>
  <si>
    <t>Arkansas Valley</t>
  </si>
  <si>
    <t>Lower Canadian Hills</t>
  </si>
  <si>
    <t>Broken Red Plains</t>
  </si>
  <si>
    <t>Northern Cross Timbers</t>
  </si>
  <si>
    <t>Dewey</t>
  </si>
  <si>
    <t>Cimmarron/Canadian Breaks</t>
  </si>
  <si>
    <t>Red River Tablelands</t>
  </si>
  <si>
    <t>Flint Hills</t>
  </si>
  <si>
    <t>Wichita Mountains</t>
  </si>
  <si>
    <t>Ouachita Mountains</t>
  </si>
  <si>
    <t>Fourche Mountains</t>
  </si>
  <si>
    <t>Le Flore</t>
  </si>
  <si>
    <t>Arkansas Valley Plains</t>
  </si>
  <si>
    <t>South Central Plains</t>
  </si>
  <si>
    <t>Cretaceous Dissected Uplands</t>
  </si>
  <si>
    <t>Pontotoc</t>
  </si>
  <si>
    <t>Central Irregular Plains</t>
  </si>
  <si>
    <t>Osage Cuestas</t>
  </si>
  <si>
    <t>Northwestern Cross Timbers</t>
  </si>
  <si>
    <t>Red Prairie</t>
  </si>
  <si>
    <t>Woods</t>
  </si>
  <si>
    <t>Level III Ecoregion</t>
  </si>
  <si>
    <t>Texas</t>
  </si>
  <si>
    <t>Ottawa</t>
  </si>
  <si>
    <t>Nowata</t>
  </si>
  <si>
    <t>Major</t>
  </si>
  <si>
    <t>Johnston</t>
  </si>
  <si>
    <t>Harper</t>
  </si>
  <si>
    <t>Grant</t>
  </si>
  <si>
    <t>Garfield</t>
  </si>
  <si>
    <t>Craig</t>
  </si>
  <si>
    <t>Match</t>
  </si>
  <si>
    <t>county</t>
  </si>
  <si>
    <t>match</t>
  </si>
  <si>
    <t>Ozark Highlands</t>
  </si>
  <si>
    <t>No Assignment</t>
  </si>
  <si>
    <t>Totol Phosphorus Ecoregional Threshold</t>
  </si>
  <si>
    <t>Total Nitrogent Ecoregional Threshold (based on DOC of 8.5)</t>
  </si>
  <si>
    <t>Max Depth (m)</t>
  </si>
  <si>
    <t>ug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</si>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</sst>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C1"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1" max="1" width="27.28515625" bestFit="1" customWidth="1"/>
    <col min="2" max="2" width="7.28515625" style="3" customWidth="1"/>
    <col min="3" max="3" width="23" customWidth="1"/>
    <col min="4" max="4" width="18" customWidth="1"/>
    <col min="5" max="5" width="13.5703125" customWidth="1"/>
    <col min="6" max="6" width="21" customWidth="1"/>
    <col min="7" max="7" width="28.7109375" customWidth="1"/>
    <col min="8" max="8" width="9.28515625" style="7" customWidth="1"/>
    <col min="9" max="9" width="11.140625" style="7" customWidth="1"/>
    <col min="10" max="10" width="10.85546875" customWidth="1"/>
    <col min="11" max="11" width="9.42578125" customWidth="1"/>
    <col min="12" max="12" width="9.5703125" customWidth="1"/>
    <col min="13" max="14" width="10.7109375" customWidth="1"/>
    <col min="15" max="15" width="7" customWidth="1"/>
    <col min="16" max="16" width="16" customWidth="1"/>
    <col min="17" max="17" width="19.5703125" customWidth="1"/>
    <col min="18" max="18" width="18" customWidth="1"/>
    <col min="19" max="19" width="9.42578125" customWidth="1"/>
    <col min="20" max="20" width="19.28515625" bestFit="1" customWidth="1"/>
  </cols>
  <sheetData>
    <row r="1" spans="1:19" s="8" customFormat="1" ht="46.5" customHeight="1" x14ac:dyDescent="0.25">
      <c r="A1" s="8" t="s">
        <v>299</v>
      </c>
      <c r="B1" s="8" t="s">
        <v>275</v>
      </c>
      <c r="C1" s="8" t="s">
        <v>276</v>
      </c>
      <c r="D1" s="8" t="s">
        <v>277</v>
      </c>
      <c r="E1" s="8" t="s">
        <v>278</v>
      </c>
      <c r="F1" s="8" t="s">
        <v>471</v>
      </c>
      <c r="G1" s="8" t="s">
        <v>279</v>
      </c>
      <c r="H1" s="9" t="s">
        <v>280</v>
      </c>
      <c r="I1" s="9" t="s">
        <v>281</v>
      </c>
      <c r="J1" s="8" t="s">
        <v>292</v>
      </c>
      <c r="K1" s="8" t="s">
        <v>293</v>
      </c>
      <c r="L1" s="8" t="s">
        <v>294</v>
      </c>
      <c r="M1" s="8" t="s">
        <v>295</v>
      </c>
      <c r="N1" s="8" t="s">
        <v>488</v>
      </c>
      <c r="O1" s="8" t="s">
        <v>296</v>
      </c>
      <c r="P1" s="8" t="s">
        <v>435</v>
      </c>
      <c r="Q1" s="8" t="s">
        <v>486</v>
      </c>
      <c r="R1" s="8" t="s">
        <v>487</v>
      </c>
      <c r="S1" s="8" t="s">
        <v>490</v>
      </c>
    </row>
    <row r="2" spans="1:19" s="1" customFormat="1" ht="16.5" customHeight="1" x14ac:dyDescent="0.25">
      <c r="A2" s="1" t="s">
        <v>402</v>
      </c>
      <c r="B2" s="2">
        <v>1933</v>
      </c>
      <c r="C2" s="1" t="s">
        <v>158</v>
      </c>
      <c r="D2" s="1" t="s">
        <v>1</v>
      </c>
      <c r="E2" s="1" t="s">
        <v>79</v>
      </c>
      <c r="F2" s="1" t="str">
        <f>VLOOKUP(E2,Sheet1!$A$1:$B$83,2)</f>
        <v>Central Great Plains</v>
      </c>
      <c r="G2" s="1" t="s">
        <v>159</v>
      </c>
      <c r="H2" s="6">
        <v>35.16619</v>
      </c>
      <c r="I2" s="6">
        <v>-99.071309999999997</v>
      </c>
      <c r="J2" s="5">
        <v>1634</v>
      </c>
      <c r="K2" s="4">
        <v>347</v>
      </c>
      <c r="L2" s="5">
        <v>4210</v>
      </c>
      <c r="M2" s="4">
        <v>8.4</v>
      </c>
      <c r="N2" s="4">
        <f>O2/3.28084</f>
        <v>3.1089599005132831</v>
      </c>
      <c r="O2" s="4">
        <v>10.199999999999999</v>
      </c>
      <c r="P2" s="1" t="s">
        <v>291</v>
      </c>
      <c r="Q2" s="1">
        <v>59</v>
      </c>
      <c r="R2" s="1">
        <v>1000</v>
      </c>
      <c r="S2" s="1" t="s">
        <v>489</v>
      </c>
    </row>
    <row r="3" spans="1:19" s="1" customFormat="1" ht="16.5" customHeight="1" x14ac:dyDescent="0.25">
      <c r="A3" s="1" t="s">
        <v>422</v>
      </c>
      <c r="B3" s="2">
        <v>1965</v>
      </c>
      <c r="C3" s="1" t="s">
        <v>4</v>
      </c>
      <c r="D3" s="1" t="s">
        <v>47</v>
      </c>
      <c r="E3" s="1" t="s">
        <v>128</v>
      </c>
      <c r="F3" s="1" t="s">
        <v>448</v>
      </c>
      <c r="G3" s="1" t="s">
        <v>129</v>
      </c>
      <c r="H3" s="6">
        <v>36.729410000000001</v>
      </c>
      <c r="I3" s="6">
        <v>-100.21495</v>
      </c>
      <c r="J3" s="5">
        <v>2322</v>
      </c>
      <c r="K3" s="4">
        <v>89</v>
      </c>
      <c r="L3" s="4">
        <v>708</v>
      </c>
      <c r="M3" s="4">
        <v>3.5</v>
      </c>
      <c r="N3" s="4">
        <f t="shared" ref="N3:N66" si="0">O3/3.28084</f>
        <v>3.3527998927104035</v>
      </c>
      <c r="O3" s="4">
        <v>11</v>
      </c>
      <c r="P3" s="1" t="s">
        <v>283</v>
      </c>
      <c r="Q3" s="1">
        <v>30</v>
      </c>
      <c r="R3" s="1">
        <v>770</v>
      </c>
      <c r="S3" s="1" t="s">
        <v>489</v>
      </c>
    </row>
    <row r="4" spans="1:19" s="1" customFormat="1" ht="16.5" customHeight="1" x14ac:dyDescent="0.25">
      <c r="A4" s="1" t="s">
        <v>411</v>
      </c>
      <c r="B4" s="2">
        <v>1936</v>
      </c>
      <c r="C4" s="1" t="s">
        <v>94</v>
      </c>
      <c r="D4" s="1" t="s">
        <v>95</v>
      </c>
      <c r="E4" s="1" t="s">
        <v>96</v>
      </c>
      <c r="F4" s="1" t="str">
        <f>VLOOKUP(E4,Sheet1!$A$1:$B$83,2)</f>
        <v>Central Great Plains</v>
      </c>
      <c r="G4" s="1" t="s">
        <v>97</v>
      </c>
      <c r="H4" s="6">
        <v>34.372680000000003</v>
      </c>
      <c r="I4" s="6">
        <v>-98.331569999999999</v>
      </c>
      <c r="J4" s="5">
        <v>1012</v>
      </c>
      <c r="K4" s="4">
        <v>121</v>
      </c>
      <c r="L4" s="4">
        <v>936</v>
      </c>
      <c r="M4" s="4">
        <v>2.2999999999999998</v>
      </c>
      <c r="N4" s="4">
        <f t="shared" si="0"/>
        <v>4.2062398654003248</v>
      </c>
      <c r="O4" s="4">
        <v>13.8</v>
      </c>
      <c r="P4" s="1" t="s">
        <v>289</v>
      </c>
      <c r="Q4" s="1">
        <v>55</v>
      </c>
      <c r="R4" s="1">
        <v>1000</v>
      </c>
      <c r="S4" s="1" t="s">
        <v>489</v>
      </c>
    </row>
    <row r="5" spans="1:19" s="1" customFormat="1" ht="16.5" customHeight="1" x14ac:dyDescent="0.25">
      <c r="A5" s="1" t="s">
        <v>343</v>
      </c>
      <c r="B5" s="2">
        <v>1960</v>
      </c>
      <c r="C5" s="1" t="s">
        <v>247</v>
      </c>
      <c r="D5" s="1" t="s">
        <v>9</v>
      </c>
      <c r="E5" s="1" t="s">
        <v>45</v>
      </c>
      <c r="F5" s="1" t="str">
        <f>VLOOKUP(E5,Sheet1!$A$1:$B$83,2)</f>
        <v>Cross Timbers</v>
      </c>
      <c r="G5" s="1" t="s">
        <v>248</v>
      </c>
      <c r="H5" s="6">
        <v>34.752330000000001</v>
      </c>
      <c r="I5" s="6">
        <v>-97.924530000000004</v>
      </c>
      <c r="J5" s="5">
        <v>1255</v>
      </c>
      <c r="K5" s="4">
        <v>227</v>
      </c>
      <c r="L5" s="5">
        <v>1877</v>
      </c>
      <c r="M5" s="4">
        <v>5.9</v>
      </c>
      <c r="N5" s="4">
        <f t="shared" si="0"/>
        <v>4.6939198497945647</v>
      </c>
      <c r="O5" s="4">
        <v>15.4</v>
      </c>
      <c r="P5" s="1" t="s">
        <v>291</v>
      </c>
      <c r="Q5" s="1">
        <v>26</v>
      </c>
      <c r="R5" s="1">
        <v>760</v>
      </c>
      <c r="S5" s="1" t="s">
        <v>489</v>
      </c>
    </row>
    <row r="6" spans="1:19" s="1" customFormat="1" ht="16.5" customHeight="1" x14ac:dyDescent="0.25">
      <c r="A6" s="1" t="s">
        <v>430</v>
      </c>
      <c r="B6" s="2">
        <v>1941</v>
      </c>
      <c r="C6" s="1" t="s">
        <v>12</v>
      </c>
      <c r="D6" s="1" t="s">
        <v>35</v>
      </c>
      <c r="E6" s="1" t="s">
        <v>144</v>
      </c>
      <c r="F6" s="1" t="s">
        <v>439</v>
      </c>
      <c r="G6" s="1" t="s">
        <v>145</v>
      </c>
      <c r="H6" s="6">
        <v>36.742289999999997</v>
      </c>
      <c r="I6" s="6">
        <v>-98.133510000000001</v>
      </c>
      <c r="J6" s="5">
        <v>1125</v>
      </c>
      <c r="K6" s="5">
        <v>8690</v>
      </c>
      <c r="L6" s="5">
        <v>13900</v>
      </c>
      <c r="M6" s="4">
        <v>25</v>
      </c>
      <c r="N6" s="4">
        <f t="shared" si="0"/>
        <v>4.876799843942405</v>
      </c>
      <c r="O6" s="4">
        <v>16</v>
      </c>
      <c r="P6" s="1" t="s">
        <v>290</v>
      </c>
      <c r="Q6" s="1">
        <v>55</v>
      </c>
      <c r="R6" s="1">
        <v>1000</v>
      </c>
      <c r="S6" s="1" t="s">
        <v>489</v>
      </c>
    </row>
    <row r="7" spans="1:19" s="1" customFormat="1" ht="16.5" customHeight="1" x14ac:dyDescent="0.25">
      <c r="A7" s="1" t="s">
        <v>342</v>
      </c>
      <c r="B7" s="2">
        <v>1934</v>
      </c>
      <c r="C7" s="1" t="s">
        <v>249</v>
      </c>
      <c r="D7" s="1" t="s">
        <v>13</v>
      </c>
      <c r="E7" s="1" t="s">
        <v>233</v>
      </c>
      <c r="F7" s="1" t="s">
        <v>443</v>
      </c>
      <c r="G7" s="1" t="s">
        <v>250</v>
      </c>
      <c r="H7" s="6">
        <v>35.289189999999998</v>
      </c>
      <c r="I7" s="6">
        <v>-96.958150000000003</v>
      </c>
      <c r="J7" s="5">
        <v>1016</v>
      </c>
      <c r="K7" s="4">
        <v>127</v>
      </c>
      <c r="L7" s="5">
        <v>1118</v>
      </c>
      <c r="M7" s="4">
        <v>3.1</v>
      </c>
      <c r="N7" s="4">
        <f t="shared" si="0"/>
        <v>4.9072798429670454</v>
      </c>
      <c r="O7" s="4">
        <v>16.100000000000001</v>
      </c>
      <c r="P7" s="1" t="s">
        <v>291</v>
      </c>
      <c r="Q7" s="1">
        <v>26</v>
      </c>
      <c r="R7" s="1">
        <v>760</v>
      </c>
      <c r="S7" s="1" t="s">
        <v>489</v>
      </c>
    </row>
    <row r="8" spans="1:19" s="1" customFormat="1" ht="16.5" customHeight="1" x14ac:dyDescent="0.25">
      <c r="A8" s="1" t="s">
        <v>373</v>
      </c>
      <c r="B8" s="2">
        <v>1919</v>
      </c>
      <c r="C8" s="1" t="s">
        <v>19</v>
      </c>
      <c r="D8" s="1" t="s">
        <v>13</v>
      </c>
      <c r="E8" s="1" t="s">
        <v>14</v>
      </c>
      <c r="F8" s="1" t="str">
        <f>VLOOKUP(E8,Sheet1!$A$1:$B$83,2)</f>
        <v>Central Great Plains</v>
      </c>
      <c r="G8" s="1" t="s">
        <v>48</v>
      </c>
      <c r="H8" s="6">
        <v>35.485199999999999</v>
      </c>
      <c r="I8" s="6">
        <v>-97.670119999999997</v>
      </c>
      <c r="J8" s="5">
        <v>1241</v>
      </c>
      <c r="K8" s="5">
        <v>1581</v>
      </c>
      <c r="L8" s="5">
        <v>13526</v>
      </c>
      <c r="M8" s="4">
        <v>7.3</v>
      </c>
      <c r="N8" s="4">
        <f t="shared" si="0"/>
        <v>5.1511198351641649</v>
      </c>
      <c r="O8" s="4">
        <v>16.899999999999999</v>
      </c>
      <c r="P8" s="1" t="s">
        <v>291</v>
      </c>
      <c r="Q8" s="1">
        <v>51</v>
      </c>
      <c r="R8" s="1">
        <v>1000</v>
      </c>
      <c r="S8" s="1" t="s">
        <v>489</v>
      </c>
    </row>
    <row r="9" spans="1:19" s="1" customFormat="1" ht="16.5" customHeight="1" x14ac:dyDescent="0.25">
      <c r="A9" s="1" t="s">
        <v>419</v>
      </c>
      <c r="B9" s="2">
        <v>1962</v>
      </c>
      <c r="C9" s="1" t="s">
        <v>4</v>
      </c>
      <c r="D9" s="1" t="s">
        <v>13</v>
      </c>
      <c r="E9" s="1" t="s">
        <v>118</v>
      </c>
      <c r="F9" s="1" t="s">
        <v>439</v>
      </c>
      <c r="G9" s="1" t="s">
        <v>119</v>
      </c>
      <c r="H9" s="6">
        <v>35.881700000000002</v>
      </c>
      <c r="I9" s="6">
        <v>-97.988470000000007</v>
      </c>
      <c r="J9" s="5">
        <v>1122</v>
      </c>
      <c r="K9" s="4">
        <v>37.9</v>
      </c>
      <c r="L9" s="5">
        <v>1080</v>
      </c>
      <c r="M9" s="4">
        <v>2.2000000000000002</v>
      </c>
      <c r="N9" s="4">
        <f t="shared" si="0"/>
        <v>5.4863998244352059</v>
      </c>
      <c r="O9" s="4">
        <v>18</v>
      </c>
      <c r="P9" s="1" t="s">
        <v>283</v>
      </c>
      <c r="Q9" s="1">
        <v>51</v>
      </c>
      <c r="R9" s="1">
        <v>1000</v>
      </c>
      <c r="S9" s="1" t="s">
        <v>489</v>
      </c>
    </row>
    <row r="10" spans="1:19" s="1" customFormat="1" ht="16.5" customHeight="1" x14ac:dyDescent="0.25">
      <c r="A10" s="1" t="s">
        <v>325</v>
      </c>
      <c r="B10" s="2">
        <v>1971</v>
      </c>
      <c r="C10" s="1" t="s">
        <v>271</v>
      </c>
      <c r="D10" s="1" t="s">
        <v>9</v>
      </c>
      <c r="E10" s="1" t="s">
        <v>224</v>
      </c>
      <c r="F10" s="1" t="str">
        <f>VLOOKUP(E10,Sheet1!$A$1:$B$83,2)</f>
        <v>Central Great Plains</v>
      </c>
      <c r="G10" s="1" t="s">
        <v>272</v>
      </c>
      <c r="H10" s="6">
        <v>34.86571</v>
      </c>
      <c r="I10" s="6">
        <v>-97.385620000000003</v>
      </c>
      <c r="J10" s="4">
        <v>965</v>
      </c>
      <c r="K10" s="4">
        <v>302</v>
      </c>
      <c r="L10" s="5">
        <v>2082</v>
      </c>
      <c r="M10" s="4">
        <v>5.6</v>
      </c>
      <c r="N10" s="4">
        <f t="shared" si="0"/>
        <v>5.6083198205337652</v>
      </c>
      <c r="O10" s="4">
        <v>18.399999999999999</v>
      </c>
      <c r="P10" s="1" t="s">
        <v>291</v>
      </c>
      <c r="Q10" s="1">
        <v>51</v>
      </c>
      <c r="R10" s="1">
        <v>1000</v>
      </c>
      <c r="S10" s="1" t="s">
        <v>489</v>
      </c>
    </row>
    <row r="11" spans="1:19" s="1" customFormat="1" ht="16.5" customHeight="1" x14ac:dyDescent="0.25">
      <c r="A11" s="1" t="s">
        <v>416</v>
      </c>
      <c r="B11" s="2">
        <v>1966</v>
      </c>
      <c r="C11" s="1" t="s">
        <v>109</v>
      </c>
      <c r="D11" s="1" t="s">
        <v>13</v>
      </c>
      <c r="E11" s="1" t="s">
        <v>110</v>
      </c>
      <c r="F11" s="1" t="str">
        <f>VLOOKUP(E11,Sheet1!$A$1:$B$83,2)</f>
        <v>Central Great Plains</v>
      </c>
      <c r="G11" s="1" t="s">
        <v>111</v>
      </c>
      <c r="H11" s="6">
        <v>35.523009999999999</v>
      </c>
      <c r="I11" s="6">
        <v>-97.986810000000006</v>
      </c>
      <c r="J11" s="5">
        <v>1363</v>
      </c>
      <c r="K11" s="4">
        <v>170</v>
      </c>
      <c r="L11" s="4">
        <v>709</v>
      </c>
      <c r="M11" s="4">
        <v>4.4000000000000004</v>
      </c>
      <c r="N11" s="4">
        <f t="shared" si="0"/>
        <v>5.7911998146816064</v>
      </c>
      <c r="O11" s="4">
        <v>19</v>
      </c>
      <c r="P11" s="1" t="s">
        <v>284</v>
      </c>
      <c r="Q11" s="1">
        <v>51</v>
      </c>
      <c r="R11" s="1">
        <v>1000</v>
      </c>
      <c r="S11" s="1" t="s">
        <v>489</v>
      </c>
    </row>
    <row r="12" spans="1:19" s="1" customFormat="1" ht="16.5" customHeight="1" x14ac:dyDescent="0.25">
      <c r="A12" s="1" t="s">
        <v>410</v>
      </c>
      <c r="B12" s="2">
        <v>1953</v>
      </c>
      <c r="C12" s="1" t="s">
        <v>4</v>
      </c>
      <c r="D12" s="1" t="s">
        <v>13</v>
      </c>
      <c r="E12" s="1" t="s">
        <v>92</v>
      </c>
      <c r="F12" s="1" t="s">
        <v>439</v>
      </c>
      <c r="G12" s="1" t="s">
        <v>93</v>
      </c>
      <c r="H12" s="6">
        <v>35.056910000000002</v>
      </c>
      <c r="I12" s="6">
        <v>-97.197969999999998</v>
      </c>
      <c r="J12" s="5">
        <v>1112</v>
      </c>
      <c r="K12" s="4">
        <v>22</v>
      </c>
      <c r="L12" s="4">
        <v>222</v>
      </c>
      <c r="M12" s="4">
        <v>1</v>
      </c>
      <c r="N12" s="4">
        <f t="shared" si="0"/>
        <v>5.7911998146816064</v>
      </c>
      <c r="O12" s="4">
        <v>19</v>
      </c>
      <c r="P12" s="1" t="s">
        <v>283</v>
      </c>
      <c r="Q12" s="1">
        <v>51</v>
      </c>
      <c r="R12" s="1">
        <v>1000</v>
      </c>
      <c r="S12" s="1" t="s">
        <v>489</v>
      </c>
    </row>
    <row r="13" spans="1:19" s="1" customFormat="1" ht="16.5" customHeight="1" x14ac:dyDescent="0.25">
      <c r="A13" s="1" t="s">
        <v>396</v>
      </c>
      <c r="B13" s="2">
        <v>1951</v>
      </c>
      <c r="C13" s="1" t="s">
        <v>12</v>
      </c>
      <c r="D13" s="1" t="s">
        <v>26</v>
      </c>
      <c r="E13" s="1" t="s">
        <v>27</v>
      </c>
      <c r="F13" s="1" t="str">
        <f>VLOOKUP(E13,Sheet1!$A$1:$B$83,2)</f>
        <v>Cross Timbers</v>
      </c>
      <c r="G13" s="1" t="s">
        <v>168</v>
      </c>
      <c r="H13" s="6">
        <v>36.93609</v>
      </c>
      <c r="I13" s="6">
        <v>-96.074359999999999</v>
      </c>
      <c r="J13" s="4">
        <v>733</v>
      </c>
      <c r="K13" s="5">
        <v>2635</v>
      </c>
      <c r="L13" s="5">
        <v>15968</v>
      </c>
      <c r="M13" s="4">
        <v>27.3</v>
      </c>
      <c r="N13" s="4">
        <f t="shared" si="0"/>
        <v>6.1569598029772861</v>
      </c>
      <c r="O13" s="4">
        <v>20.2</v>
      </c>
      <c r="P13" s="1" t="s">
        <v>291</v>
      </c>
      <c r="Q13" s="1">
        <v>25</v>
      </c>
      <c r="R13" s="1">
        <v>760</v>
      </c>
      <c r="S13" s="1" t="s">
        <v>489</v>
      </c>
    </row>
    <row r="14" spans="1:19" s="1" customFormat="1" ht="16.5" customHeight="1" x14ac:dyDescent="0.25">
      <c r="A14" s="1" t="s">
        <v>372</v>
      </c>
      <c r="B14" s="2">
        <v>1958</v>
      </c>
      <c r="C14" s="1" t="s">
        <v>4</v>
      </c>
      <c r="D14" s="1" t="s">
        <v>38</v>
      </c>
      <c r="E14" s="1" t="s">
        <v>70</v>
      </c>
      <c r="F14" s="1" t="s">
        <v>459</v>
      </c>
      <c r="G14" s="1" t="s">
        <v>11</v>
      </c>
      <c r="H14" s="6">
        <v>34.244770000000003</v>
      </c>
      <c r="I14" s="6">
        <v>-95.385220000000004</v>
      </c>
      <c r="J14" s="4">
        <v>513</v>
      </c>
      <c r="K14" s="4">
        <v>58</v>
      </c>
      <c r="L14" s="4">
        <v>833</v>
      </c>
      <c r="M14" s="4">
        <v>3.1</v>
      </c>
      <c r="N14" s="4">
        <f t="shared" si="0"/>
        <v>6.7055997854208069</v>
      </c>
      <c r="O14" s="4">
        <v>22</v>
      </c>
      <c r="P14" s="1" t="s">
        <v>290</v>
      </c>
      <c r="Q14" s="1">
        <v>18</v>
      </c>
      <c r="R14" s="1">
        <v>600</v>
      </c>
      <c r="S14" s="1" t="s">
        <v>489</v>
      </c>
    </row>
    <row r="15" spans="1:19" s="1" customFormat="1" ht="16.5" customHeight="1" x14ac:dyDescent="0.25">
      <c r="A15" s="1" t="s">
        <v>361</v>
      </c>
      <c r="B15" s="2">
        <v>1956</v>
      </c>
      <c r="C15" s="1" t="s">
        <v>4</v>
      </c>
      <c r="D15" s="1" t="s">
        <v>38</v>
      </c>
      <c r="E15" s="1" t="s">
        <v>166</v>
      </c>
      <c r="F15" s="1" t="s">
        <v>463</v>
      </c>
      <c r="G15" s="1" t="s">
        <v>228</v>
      </c>
      <c r="H15" s="6">
        <v>33.994070000000001</v>
      </c>
      <c r="I15" s="6">
        <v>-95.256020000000007</v>
      </c>
      <c r="J15" s="4">
        <v>401</v>
      </c>
      <c r="K15" s="4">
        <v>263</v>
      </c>
      <c r="L15" s="5">
        <v>1681</v>
      </c>
      <c r="M15" s="4">
        <v>10.1</v>
      </c>
      <c r="N15" s="4">
        <f t="shared" si="0"/>
        <v>6.7055997854208069</v>
      </c>
      <c r="O15" s="4">
        <v>22</v>
      </c>
      <c r="P15" s="1" t="s">
        <v>291</v>
      </c>
      <c r="Q15" s="1">
        <v>27</v>
      </c>
      <c r="R15" s="1">
        <v>530</v>
      </c>
      <c r="S15" s="1" t="s">
        <v>489</v>
      </c>
    </row>
    <row r="16" spans="1:19" s="1" customFormat="1" ht="16.5" customHeight="1" x14ac:dyDescent="0.25">
      <c r="A16" s="1" t="s">
        <v>309</v>
      </c>
      <c r="B16" s="2">
        <v>1932</v>
      </c>
      <c r="C16" s="1" t="s">
        <v>34</v>
      </c>
      <c r="D16" s="1" t="s">
        <v>35</v>
      </c>
      <c r="E16" s="1" t="s">
        <v>36</v>
      </c>
      <c r="F16" s="1" t="str">
        <f>VLOOKUP(E16,Sheet1!$A$1:$B$83,2)</f>
        <v>Central Great Plains</v>
      </c>
      <c r="G16" s="1" t="s">
        <v>37</v>
      </c>
      <c r="H16" s="6">
        <v>36.147210000000001</v>
      </c>
      <c r="I16" s="6">
        <v>-97.067689999999999</v>
      </c>
      <c r="J16" s="4">
        <v>910</v>
      </c>
      <c r="K16" s="4">
        <v>223</v>
      </c>
      <c r="L16" s="5">
        <v>1484</v>
      </c>
      <c r="M16" s="4">
        <v>10.1</v>
      </c>
      <c r="N16" s="4">
        <f t="shared" si="0"/>
        <v>6.7360797844454474</v>
      </c>
      <c r="O16" s="4">
        <v>22.1</v>
      </c>
      <c r="P16" s="1" t="s">
        <v>286</v>
      </c>
      <c r="Q16" s="1">
        <v>48</v>
      </c>
      <c r="R16" s="1">
        <v>1000</v>
      </c>
      <c r="S16" s="1" t="s">
        <v>489</v>
      </c>
    </row>
    <row r="17" spans="1:19" s="1" customFormat="1" ht="16.5" customHeight="1" x14ac:dyDescent="0.25">
      <c r="A17" s="1" t="s">
        <v>432</v>
      </c>
      <c r="B17" s="2">
        <v>1919</v>
      </c>
      <c r="C17" s="1" t="s">
        <v>148</v>
      </c>
      <c r="D17" s="1" t="s">
        <v>13</v>
      </c>
      <c r="E17" s="1" t="s">
        <v>149</v>
      </c>
      <c r="F17" s="1" t="str">
        <f>VLOOKUP(E17,Sheet1!$A$1:$B$83,2)</f>
        <v>Central Great Plains</v>
      </c>
      <c r="G17" s="1" t="s">
        <v>150</v>
      </c>
      <c r="H17" s="6">
        <v>35.816049999999997</v>
      </c>
      <c r="I17" s="6">
        <v>-97.442809999999994</v>
      </c>
      <c r="J17" s="4">
        <v>982</v>
      </c>
      <c r="K17" s="4">
        <v>205</v>
      </c>
      <c r="L17" s="5">
        <v>2403</v>
      </c>
      <c r="M17" s="4">
        <v>5.0999999999999996</v>
      </c>
      <c r="N17" s="4">
        <f t="shared" si="0"/>
        <v>6.8579997805440067</v>
      </c>
      <c r="O17" s="4">
        <v>22.5</v>
      </c>
      <c r="P17" s="1" t="s">
        <v>291</v>
      </c>
      <c r="Q17" s="1">
        <v>48</v>
      </c>
      <c r="R17" s="1">
        <v>1000</v>
      </c>
      <c r="S17" s="1" t="s">
        <v>489</v>
      </c>
    </row>
    <row r="18" spans="1:19" s="1" customFormat="1" ht="16.5" customHeight="1" x14ac:dyDescent="0.25">
      <c r="A18" s="1" t="s">
        <v>376</v>
      </c>
      <c r="B18" s="2">
        <v>1960</v>
      </c>
      <c r="C18" s="1" t="s">
        <v>203</v>
      </c>
      <c r="D18" s="1" t="s">
        <v>42</v>
      </c>
      <c r="E18" s="1" t="s">
        <v>61</v>
      </c>
      <c r="F18" s="1" t="str">
        <f>VLOOKUP(E18,Sheet1!$A$1:$B$83,2)</f>
        <v>Arkansas Valley</v>
      </c>
      <c r="G18" s="1" t="s">
        <v>204</v>
      </c>
      <c r="H18" s="6">
        <v>35.196489999999997</v>
      </c>
      <c r="I18" s="6">
        <v>-94.615570000000005</v>
      </c>
      <c r="J18" s="4">
        <v>426</v>
      </c>
      <c r="K18" s="4">
        <v>250</v>
      </c>
      <c r="L18" s="5">
        <v>2023</v>
      </c>
      <c r="M18" s="4">
        <v>5.8</v>
      </c>
      <c r="N18" s="4">
        <f t="shared" si="0"/>
        <v>6.9189597785932868</v>
      </c>
      <c r="O18" s="4">
        <v>22.7</v>
      </c>
      <c r="P18" s="1" t="s">
        <v>291</v>
      </c>
      <c r="Q18" s="1">
        <v>24</v>
      </c>
      <c r="R18" s="1">
        <v>640</v>
      </c>
      <c r="S18" s="1" t="s">
        <v>489</v>
      </c>
    </row>
    <row r="19" spans="1:19" s="1" customFormat="1" ht="16.5" customHeight="1" x14ac:dyDescent="0.25">
      <c r="A19" s="1" t="s">
        <v>338</v>
      </c>
      <c r="B19" s="2">
        <v>1975</v>
      </c>
      <c r="C19" s="1" t="s">
        <v>8</v>
      </c>
      <c r="D19" s="1" t="s">
        <v>1</v>
      </c>
      <c r="E19" s="1" t="s">
        <v>253</v>
      </c>
      <c r="F19" s="1" t="str">
        <f>VLOOKUP(E19,Sheet1!$A$1:$B$83,2)</f>
        <v>Central Great Plains</v>
      </c>
      <c r="G19" s="1" t="s">
        <v>254</v>
      </c>
      <c r="H19" s="6">
        <v>34.746549999999999</v>
      </c>
      <c r="I19" s="6">
        <v>-98.969170000000005</v>
      </c>
      <c r="J19" s="5">
        <v>1411</v>
      </c>
      <c r="K19" s="5">
        <v>6400</v>
      </c>
      <c r="L19" s="5">
        <v>88970</v>
      </c>
      <c r="M19" s="4">
        <v>29.7</v>
      </c>
      <c r="N19" s="4">
        <f t="shared" si="0"/>
        <v>7.1932797698150477</v>
      </c>
      <c r="O19" s="4">
        <v>23.6</v>
      </c>
      <c r="P19" s="1" t="s">
        <v>290</v>
      </c>
      <c r="Q19" s="1">
        <v>48</v>
      </c>
      <c r="R19" s="1">
        <v>1000</v>
      </c>
      <c r="S19" s="1" t="s">
        <v>489</v>
      </c>
    </row>
    <row r="20" spans="1:19" s="1" customFormat="1" ht="16.5" customHeight="1" x14ac:dyDescent="0.25">
      <c r="A20" s="1" t="s">
        <v>364</v>
      </c>
      <c r="B20" s="2">
        <v>1930</v>
      </c>
      <c r="C20" s="1" t="s">
        <v>223</v>
      </c>
      <c r="D20" s="1" t="s">
        <v>13</v>
      </c>
      <c r="E20" s="1" t="s">
        <v>224</v>
      </c>
      <c r="F20" s="1" t="str">
        <f>VLOOKUP(E20,Sheet1!$A$1:$B$83,2)</f>
        <v>Central Great Plains</v>
      </c>
      <c r="G20" s="1" t="s">
        <v>225</v>
      </c>
      <c r="H20" s="6">
        <v>34.988759999999999</v>
      </c>
      <c r="I20" s="6">
        <v>-97.378739999999993</v>
      </c>
      <c r="J20" s="5">
        <v>1068</v>
      </c>
      <c r="K20" s="4">
        <v>157</v>
      </c>
      <c r="L20" s="5">
        <v>2600</v>
      </c>
      <c r="M20" s="4">
        <v>4.5</v>
      </c>
      <c r="N20" s="4">
        <f t="shared" si="0"/>
        <v>7.3151997659136079</v>
      </c>
      <c r="O20" s="4">
        <v>24</v>
      </c>
      <c r="P20" s="1" t="s">
        <v>283</v>
      </c>
      <c r="Q20" s="1">
        <v>48</v>
      </c>
      <c r="R20" s="1">
        <v>1000</v>
      </c>
      <c r="S20" s="1" t="s">
        <v>489</v>
      </c>
    </row>
    <row r="21" spans="1:19" s="1" customFormat="1" ht="16.5" customHeight="1" x14ac:dyDescent="0.25">
      <c r="A21" s="1" t="s">
        <v>379</v>
      </c>
      <c r="B21" s="2">
        <v>1970</v>
      </c>
      <c r="C21" s="1" t="s">
        <v>197</v>
      </c>
      <c r="D21" s="1" t="s">
        <v>13</v>
      </c>
      <c r="E21" s="1" t="s">
        <v>24</v>
      </c>
      <c r="F21" s="1" t="s">
        <v>443</v>
      </c>
      <c r="G21" s="1" t="s">
        <v>198</v>
      </c>
      <c r="H21" s="6">
        <v>35.49333</v>
      </c>
      <c r="I21" s="6">
        <v>-96.936850000000007</v>
      </c>
      <c r="J21" s="4">
        <v>908</v>
      </c>
      <c r="K21" s="4">
        <v>211</v>
      </c>
      <c r="L21" s="5">
        <v>1962</v>
      </c>
      <c r="M21" s="4">
        <v>4.9000000000000004</v>
      </c>
      <c r="N21" s="4">
        <f t="shared" si="0"/>
        <v>7.3761597639628871</v>
      </c>
      <c r="O21" s="4">
        <v>24.2</v>
      </c>
      <c r="P21" s="1" t="s">
        <v>291</v>
      </c>
      <c r="Q21" s="1">
        <v>24</v>
      </c>
      <c r="R21" s="1">
        <v>760</v>
      </c>
      <c r="S21" s="1" t="s">
        <v>489</v>
      </c>
    </row>
    <row r="22" spans="1:19" s="1" customFormat="1" ht="16.5" customHeight="1" x14ac:dyDescent="0.25">
      <c r="A22" s="1" t="s">
        <v>417</v>
      </c>
      <c r="B22" s="2">
        <v>1970</v>
      </c>
      <c r="C22" s="1" t="s">
        <v>112</v>
      </c>
      <c r="D22" s="1" t="s">
        <v>1</v>
      </c>
      <c r="E22" s="1" t="s">
        <v>113</v>
      </c>
      <c r="F22" s="1" t="str">
        <f>VLOOKUP(E22,Sheet1!$A$1:$B$83,2)</f>
        <v>Central Great Plains</v>
      </c>
      <c r="G22" s="1" t="s">
        <v>114</v>
      </c>
      <c r="H22" s="6">
        <v>35.365360000000003</v>
      </c>
      <c r="I22" s="6">
        <v>-99.414519999999996</v>
      </c>
      <c r="J22" s="5">
        <v>1891</v>
      </c>
      <c r="K22" s="4">
        <v>240</v>
      </c>
      <c r="L22" s="5">
        <v>2583</v>
      </c>
      <c r="M22" s="4">
        <v>6</v>
      </c>
      <c r="N22" s="4">
        <f t="shared" si="0"/>
        <v>7.4066397629875276</v>
      </c>
      <c r="O22" s="4">
        <v>24.3</v>
      </c>
      <c r="P22" s="1" t="s">
        <v>290</v>
      </c>
      <c r="Q22" s="1">
        <v>48</v>
      </c>
      <c r="R22" s="1">
        <v>1000</v>
      </c>
      <c r="S22" s="1" t="s">
        <v>489</v>
      </c>
    </row>
    <row r="23" spans="1:19" s="1" customFormat="1" ht="16.5" customHeight="1" x14ac:dyDescent="0.25">
      <c r="A23" s="1" t="s">
        <v>76</v>
      </c>
      <c r="B23" s="2">
        <v>1932</v>
      </c>
      <c r="C23" s="1" t="s">
        <v>213</v>
      </c>
      <c r="D23" s="1" t="s">
        <v>35</v>
      </c>
      <c r="E23" s="1" t="s">
        <v>76</v>
      </c>
      <c r="F23" s="1" t="str">
        <f>VLOOKUP(E23,Sheet1!$A$1:$B$83,2)</f>
        <v>Central Great Plains</v>
      </c>
      <c r="G23" s="1" t="s">
        <v>214</v>
      </c>
      <c r="H23" s="6">
        <v>36.357370000000003</v>
      </c>
      <c r="I23" s="6">
        <v>-96.808059999999998</v>
      </c>
      <c r="J23" s="4">
        <v>867</v>
      </c>
      <c r="K23" s="4">
        <v>310</v>
      </c>
      <c r="L23" s="5">
        <v>3533</v>
      </c>
      <c r="M23" s="4">
        <v>5.4</v>
      </c>
      <c r="N23" s="4">
        <f t="shared" si="0"/>
        <v>7.4066397629875276</v>
      </c>
      <c r="O23" s="4">
        <v>24.3</v>
      </c>
      <c r="P23" s="1" t="s">
        <v>291</v>
      </c>
      <c r="Q23" s="1">
        <v>48</v>
      </c>
      <c r="R23" s="1">
        <v>1000</v>
      </c>
      <c r="S23" s="1" t="s">
        <v>489</v>
      </c>
    </row>
    <row r="24" spans="1:19" s="1" customFormat="1" ht="16.5" customHeight="1" x14ac:dyDescent="0.25">
      <c r="A24" s="1" t="s">
        <v>320</v>
      </c>
      <c r="B24" s="2">
        <v>1930</v>
      </c>
      <c r="C24" s="1" t="s">
        <v>67</v>
      </c>
      <c r="D24" s="1" t="s">
        <v>26</v>
      </c>
      <c r="E24" s="1" t="s">
        <v>68</v>
      </c>
      <c r="F24" s="1" t="str">
        <f>VLOOKUP(E24,Sheet1!$A$1:$B$83,2)</f>
        <v>Central Irregular Plains</v>
      </c>
      <c r="G24" s="1" t="s">
        <v>69</v>
      </c>
      <c r="H24" s="6">
        <v>36.330269999999999</v>
      </c>
      <c r="I24" s="6">
        <v>-95.581890000000001</v>
      </c>
      <c r="J24" s="4">
        <v>610</v>
      </c>
      <c r="K24" s="4">
        <v>621</v>
      </c>
      <c r="L24" s="5">
        <v>5188</v>
      </c>
      <c r="M24" s="4">
        <v>17.8</v>
      </c>
      <c r="N24" s="4">
        <f t="shared" si="0"/>
        <v>7.4066397629875276</v>
      </c>
      <c r="O24" s="4">
        <v>24.3</v>
      </c>
      <c r="P24" s="1" t="s">
        <v>286</v>
      </c>
      <c r="Q24" s="1">
        <v>28</v>
      </c>
      <c r="R24" s="1">
        <v>780</v>
      </c>
      <c r="S24" s="1" t="s">
        <v>489</v>
      </c>
    </row>
    <row r="25" spans="1:19" s="1" customFormat="1" ht="16.5" customHeight="1" x14ac:dyDescent="0.25">
      <c r="A25" s="1" t="s">
        <v>327</v>
      </c>
      <c r="B25" s="2">
        <v>1939</v>
      </c>
      <c r="C25" s="1" t="s">
        <v>268</v>
      </c>
      <c r="D25" s="1" t="s">
        <v>13</v>
      </c>
      <c r="E25" s="1" t="s">
        <v>161</v>
      </c>
      <c r="F25" s="1" t="str">
        <f>VLOOKUP(E25,Sheet1!$A$1:$B$83,2)</f>
        <v>Cross Timbers</v>
      </c>
      <c r="G25" s="1" t="s">
        <v>269</v>
      </c>
      <c r="H25" s="6">
        <v>35.282890000000002</v>
      </c>
      <c r="I25" s="6">
        <v>-96.251279999999994</v>
      </c>
      <c r="J25" s="4">
        <v>742</v>
      </c>
      <c r="K25" s="4">
        <v>169</v>
      </c>
      <c r="L25" s="5">
        <v>1839</v>
      </c>
      <c r="M25" s="4">
        <v>5.9</v>
      </c>
      <c r="N25" s="4">
        <f t="shared" si="0"/>
        <v>7.4066397629875276</v>
      </c>
      <c r="O25" s="4">
        <v>24.3</v>
      </c>
      <c r="P25" s="1" t="s">
        <v>291</v>
      </c>
      <c r="Q25" s="1">
        <v>24</v>
      </c>
      <c r="R25" s="1">
        <v>760</v>
      </c>
      <c r="S25" s="1" t="s">
        <v>489</v>
      </c>
    </row>
    <row r="26" spans="1:19" s="1" customFormat="1" ht="16.5" customHeight="1" x14ac:dyDescent="0.25">
      <c r="A26" s="1" t="s">
        <v>337</v>
      </c>
      <c r="B26" s="2">
        <v>1968</v>
      </c>
      <c r="C26" s="1" t="s">
        <v>4</v>
      </c>
      <c r="D26" s="1" t="s">
        <v>5</v>
      </c>
      <c r="E26" s="1" t="s">
        <v>79</v>
      </c>
      <c r="F26" s="1" t="str">
        <f>VLOOKUP(E26,Sheet1!$A$1:$B$83,2)</f>
        <v>Central Great Plains</v>
      </c>
      <c r="G26" s="1" t="s">
        <v>255</v>
      </c>
      <c r="H26" s="6">
        <v>35.16263</v>
      </c>
      <c r="I26" s="6">
        <v>-98.824780000000004</v>
      </c>
      <c r="J26" s="5">
        <v>1440</v>
      </c>
      <c r="K26" s="4">
        <v>135</v>
      </c>
      <c r="L26" s="5">
        <v>1578</v>
      </c>
      <c r="M26" s="4">
        <v>5.6</v>
      </c>
      <c r="N26" s="4">
        <f t="shared" si="0"/>
        <v>7.6199997561600075</v>
      </c>
      <c r="O26" s="4">
        <v>25</v>
      </c>
      <c r="P26" s="1" t="s">
        <v>283</v>
      </c>
      <c r="Q26" s="1">
        <v>48</v>
      </c>
      <c r="R26" s="1">
        <v>1000</v>
      </c>
      <c r="S26" s="1" t="s">
        <v>489</v>
      </c>
    </row>
    <row r="27" spans="1:19" s="1" customFormat="1" ht="16.5" customHeight="1" x14ac:dyDescent="0.25">
      <c r="A27" s="1" t="s">
        <v>377</v>
      </c>
      <c r="B27" s="2">
        <v>1958</v>
      </c>
      <c r="C27" s="1" t="s">
        <v>4</v>
      </c>
      <c r="D27" s="1" t="s">
        <v>38</v>
      </c>
      <c r="E27" s="1" t="s">
        <v>70</v>
      </c>
      <c r="F27" s="1" t="s">
        <v>459</v>
      </c>
      <c r="G27" s="1" t="s">
        <v>202</v>
      </c>
      <c r="H27" s="6">
        <v>34.632460000000002</v>
      </c>
      <c r="I27" s="6">
        <v>-95.297610000000006</v>
      </c>
      <c r="J27" s="4">
        <v>594</v>
      </c>
      <c r="K27" s="4">
        <v>104</v>
      </c>
      <c r="L27" s="5">
        <v>1064</v>
      </c>
      <c r="M27" s="4">
        <v>2.4</v>
      </c>
      <c r="N27" s="4">
        <f t="shared" si="0"/>
        <v>7.6199997561600075</v>
      </c>
      <c r="O27" s="4">
        <v>25</v>
      </c>
      <c r="P27" s="1" t="s">
        <v>290</v>
      </c>
      <c r="Q27" s="1">
        <v>18</v>
      </c>
      <c r="R27" s="1">
        <v>600</v>
      </c>
      <c r="S27" s="1" t="s">
        <v>489</v>
      </c>
    </row>
    <row r="28" spans="1:19" s="1" customFormat="1" ht="16.5" customHeight="1" x14ac:dyDescent="0.25">
      <c r="A28" s="1" t="s">
        <v>357</v>
      </c>
      <c r="B28" s="2">
        <v>1955</v>
      </c>
      <c r="C28" s="1" t="s">
        <v>4</v>
      </c>
      <c r="D28" s="1" t="s">
        <v>38</v>
      </c>
      <c r="E28" s="1" t="s">
        <v>166</v>
      </c>
      <c r="F28" s="1" t="s">
        <v>463</v>
      </c>
      <c r="G28" s="1" t="s">
        <v>231</v>
      </c>
      <c r="H28" s="6">
        <v>34.104460000000003</v>
      </c>
      <c r="I28" s="6">
        <v>-95.371489999999994</v>
      </c>
      <c r="J28" s="4">
        <v>492</v>
      </c>
      <c r="K28" s="4">
        <v>22.6</v>
      </c>
      <c r="L28" s="4">
        <v>306</v>
      </c>
      <c r="M28" s="4">
        <v>1.4</v>
      </c>
      <c r="N28" s="4">
        <f t="shared" si="0"/>
        <v>7.6199997561600075</v>
      </c>
      <c r="O28" s="4">
        <v>25</v>
      </c>
      <c r="P28" s="1" t="s">
        <v>291</v>
      </c>
      <c r="Q28" s="1">
        <v>27</v>
      </c>
      <c r="R28" s="1">
        <v>530</v>
      </c>
      <c r="S28" s="1" t="s">
        <v>489</v>
      </c>
    </row>
    <row r="29" spans="1:19" s="1" customFormat="1" ht="16.5" customHeight="1" x14ac:dyDescent="0.25">
      <c r="A29" s="1" t="s">
        <v>414</v>
      </c>
      <c r="B29" s="2">
        <v>1937</v>
      </c>
      <c r="C29" s="1" t="s">
        <v>72</v>
      </c>
      <c r="D29" s="1" t="s">
        <v>9</v>
      </c>
      <c r="E29" s="1" t="s">
        <v>73</v>
      </c>
      <c r="F29" s="1" t="str">
        <f>VLOOKUP(E29,Sheet1!$A$1:$B$83,2)</f>
        <v>Cross Timbers</v>
      </c>
      <c r="G29" s="1" t="s">
        <v>105</v>
      </c>
      <c r="H29" s="6">
        <v>34.525599999999997</v>
      </c>
      <c r="I29" s="6">
        <v>-97.81326</v>
      </c>
      <c r="J29" s="5">
        <v>1082</v>
      </c>
      <c r="K29" s="4">
        <v>500</v>
      </c>
      <c r="L29" s="5">
        <v>7200</v>
      </c>
      <c r="M29" s="4">
        <v>5.9</v>
      </c>
      <c r="N29" s="4">
        <f t="shared" si="0"/>
        <v>7.7114397532339281</v>
      </c>
      <c r="O29" s="4">
        <v>25.3</v>
      </c>
      <c r="P29" s="1" t="s">
        <v>289</v>
      </c>
      <c r="Q29" s="1">
        <v>24</v>
      </c>
      <c r="R29" s="1">
        <v>760</v>
      </c>
      <c r="S29" s="1" t="s">
        <v>489</v>
      </c>
    </row>
    <row r="30" spans="1:19" s="1" customFormat="1" ht="16.5" customHeight="1" x14ac:dyDescent="0.25">
      <c r="A30" s="1" t="s">
        <v>334</v>
      </c>
      <c r="B30" s="2">
        <v>1955</v>
      </c>
      <c r="C30" s="1" t="s">
        <v>259</v>
      </c>
      <c r="D30" s="1" t="s">
        <v>13</v>
      </c>
      <c r="E30" s="1" t="s">
        <v>6</v>
      </c>
      <c r="F30" s="1" t="s">
        <v>439</v>
      </c>
      <c r="G30" s="1" t="s">
        <v>260</v>
      </c>
      <c r="H30" s="6">
        <v>35.943449999999999</v>
      </c>
      <c r="I30" s="6">
        <v>-98.423649999999995</v>
      </c>
      <c r="J30" s="5">
        <v>1373</v>
      </c>
      <c r="K30" s="4">
        <v>55</v>
      </c>
      <c r="L30" s="4">
        <v>656</v>
      </c>
      <c r="M30" s="4">
        <v>2.5</v>
      </c>
      <c r="N30" s="4">
        <f t="shared" si="0"/>
        <v>7.9247997464064079</v>
      </c>
      <c r="O30" s="4">
        <v>26</v>
      </c>
      <c r="P30" s="1" t="s">
        <v>291</v>
      </c>
      <c r="Q30" s="1">
        <v>48</v>
      </c>
      <c r="R30" s="1">
        <v>1000</v>
      </c>
      <c r="S30" s="1" t="s">
        <v>489</v>
      </c>
    </row>
    <row r="31" spans="1:19" s="1" customFormat="1" ht="16.5" customHeight="1" x14ac:dyDescent="0.25">
      <c r="A31" s="1" t="s">
        <v>318</v>
      </c>
      <c r="B31" s="2">
        <v>1954</v>
      </c>
      <c r="C31" s="1" t="s">
        <v>23</v>
      </c>
      <c r="D31" s="1" t="s">
        <v>13</v>
      </c>
      <c r="E31" s="1" t="s">
        <v>24</v>
      </c>
      <c r="F31" s="1" t="s">
        <v>443</v>
      </c>
      <c r="G31" s="1" t="s">
        <v>63</v>
      </c>
      <c r="H31" s="6">
        <v>35.737029999999997</v>
      </c>
      <c r="I31" s="6">
        <v>-96.910809999999998</v>
      </c>
      <c r="J31" s="4">
        <v>892</v>
      </c>
      <c r="K31" s="4">
        <v>178</v>
      </c>
      <c r="L31" s="5">
        <v>2131</v>
      </c>
      <c r="M31" s="4">
        <v>4.2</v>
      </c>
      <c r="N31" s="4">
        <f t="shared" si="0"/>
        <v>7.9552797454310484</v>
      </c>
      <c r="O31" s="4">
        <v>26.1</v>
      </c>
      <c r="P31" s="1" t="s">
        <v>286</v>
      </c>
      <c r="Q31" s="1">
        <v>24</v>
      </c>
      <c r="R31" s="1">
        <v>760</v>
      </c>
      <c r="S31" s="1" t="s">
        <v>489</v>
      </c>
    </row>
    <row r="32" spans="1:19" s="1" customFormat="1" ht="16.5" customHeight="1" x14ac:dyDescent="0.25">
      <c r="A32" s="1" t="s">
        <v>386</v>
      </c>
      <c r="B32" s="2">
        <v>1948</v>
      </c>
      <c r="C32" s="1" t="s">
        <v>148</v>
      </c>
      <c r="D32" s="1" t="s">
        <v>13</v>
      </c>
      <c r="E32" s="1" t="s">
        <v>149</v>
      </c>
      <c r="F32" s="1" t="str">
        <f>VLOOKUP(E32,Sheet1!$A$1:$B$83,2)</f>
        <v>Central Great Plains</v>
      </c>
      <c r="G32" s="1" t="s">
        <v>150</v>
      </c>
      <c r="H32" s="6">
        <v>35.803370000000001</v>
      </c>
      <c r="I32" s="6">
        <v>-97.464209999999994</v>
      </c>
      <c r="J32" s="4">
        <v>992</v>
      </c>
      <c r="K32" s="4">
        <v>197</v>
      </c>
      <c r="L32" s="5">
        <v>2471</v>
      </c>
      <c r="M32" s="4">
        <v>4.8</v>
      </c>
      <c r="N32" s="4">
        <f t="shared" si="0"/>
        <v>7.985759744455688</v>
      </c>
      <c r="O32" s="4">
        <v>26.2</v>
      </c>
      <c r="P32" s="1" t="s">
        <v>291</v>
      </c>
      <c r="Q32" s="1">
        <v>48</v>
      </c>
      <c r="R32" s="1">
        <v>1000</v>
      </c>
      <c r="S32" s="1" t="s">
        <v>489</v>
      </c>
    </row>
    <row r="33" spans="1:19" s="1" customFormat="1" ht="16.5" customHeight="1" x14ac:dyDescent="0.25">
      <c r="A33" s="1" t="s">
        <v>408</v>
      </c>
      <c r="B33" s="2">
        <v>1959</v>
      </c>
      <c r="C33" s="1" t="s">
        <v>88</v>
      </c>
      <c r="D33" s="1" t="s">
        <v>5</v>
      </c>
      <c r="E33" s="1" t="s">
        <v>79</v>
      </c>
      <c r="F33" s="1" t="str">
        <f>VLOOKUP(E33,Sheet1!$A$1:$B$83,2)</f>
        <v>Central Great Plains</v>
      </c>
      <c r="G33" s="1" t="s">
        <v>89</v>
      </c>
      <c r="H33" s="6">
        <v>35.400709999999997</v>
      </c>
      <c r="I33" s="6">
        <v>-98.700699999999998</v>
      </c>
      <c r="J33" s="5">
        <v>1520</v>
      </c>
      <c r="K33" s="4">
        <v>142</v>
      </c>
      <c r="L33" s="5">
        <v>1647</v>
      </c>
      <c r="M33" s="4">
        <v>8.1999999999999993</v>
      </c>
      <c r="N33" s="4">
        <f t="shared" si="0"/>
        <v>7.985759744455688</v>
      </c>
      <c r="O33" s="4">
        <v>26.2</v>
      </c>
      <c r="P33" s="1" t="s">
        <v>289</v>
      </c>
      <c r="Q33" s="1">
        <v>48</v>
      </c>
      <c r="R33" s="1">
        <v>1000</v>
      </c>
      <c r="S33" s="1" t="s">
        <v>489</v>
      </c>
    </row>
    <row r="34" spans="1:19" s="1" customFormat="1" ht="16.5" customHeight="1" x14ac:dyDescent="0.25">
      <c r="A34" s="1" t="s">
        <v>319</v>
      </c>
      <c r="B34" s="2">
        <v>1958</v>
      </c>
      <c r="C34" s="1" t="s">
        <v>64</v>
      </c>
      <c r="D34" s="1" t="s">
        <v>9</v>
      </c>
      <c r="E34" s="1" t="s">
        <v>65</v>
      </c>
      <c r="F34" s="1" t="str">
        <f>VLOOKUP(E34,Sheet1!$A$1:$B$83,2)</f>
        <v>Central Great Plains</v>
      </c>
      <c r="G34" s="1" t="s">
        <v>66</v>
      </c>
      <c r="H34" s="6">
        <v>35.147069999999999</v>
      </c>
      <c r="I34" s="6">
        <v>-98.130369999999999</v>
      </c>
      <c r="J34" s="5">
        <v>1180</v>
      </c>
      <c r="K34" s="4">
        <v>1407</v>
      </c>
      <c r="L34" s="5">
        <v>17244</v>
      </c>
      <c r="M34" s="4">
        <v>12.2</v>
      </c>
      <c r="N34" s="4">
        <f t="shared" si="0"/>
        <v>8.1991197376281679</v>
      </c>
      <c r="O34" s="4">
        <v>26.9</v>
      </c>
      <c r="P34" s="1" t="s">
        <v>286</v>
      </c>
      <c r="Q34" s="1">
        <v>45</v>
      </c>
      <c r="R34" s="1">
        <v>1000</v>
      </c>
      <c r="S34" s="1" t="s">
        <v>489</v>
      </c>
    </row>
    <row r="35" spans="1:19" s="1" customFormat="1" ht="16.5" customHeight="1" x14ac:dyDescent="0.25">
      <c r="A35" s="1" t="s">
        <v>17</v>
      </c>
      <c r="B35" s="2">
        <v>1960</v>
      </c>
      <c r="C35" s="1" t="s">
        <v>57</v>
      </c>
      <c r="D35" s="1" t="s">
        <v>9</v>
      </c>
      <c r="E35" s="1" t="s">
        <v>58</v>
      </c>
      <c r="F35" s="1" t="s">
        <v>443</v>
      </c>
      <c r="G35" s="1" t="s">
        <v>59</v>
      </c>
      <c r="H35" s="6">
        <v>34.124639999999999</v>
      </c>
      <c r="I35" s="6">
        <v>-96.795400000000001</v>
      </c>
      <c r="J35" s="4">
        <v>831</v>
      </c>
      <c r="K35" s="4">
        <v>85</v>
      </c>
      <c r="L35" s="4">
        <v>950</v>
      </c>
      <c r="M35" s="4">
        <v>3.1</v>
      </c>
      <c r="N35" s="4">
        <f t="shared" si="0"/>
        <v>8.1991197376281679</v>
      </c>
      <c r="O35" s="4">
        <v>26.9</v>
      </c>
      <c r="P35" s="1" t="s">
        <v>286</v>
      </c>
      <c r="Q35" s="1">
        <v>23</v>
      </c>
      <c r="R35" s="1">
        <v>760</v>
      </c>
      <c r="S35" s="1" t="s">
        <v>489</v>
      </c>
    </row>
    <row r="36" spans="1:19" s="1" customFormat="1" ht="16.5" customHeight="1" x14ac:dyDescent="0.25">
      <c r="A36" s="1" t="s">
        <v>326</v>
      </c>
      <c r="B36" s="2">
        <v>1925</v>
      </c>
      <c r="C36" s="1" t="s">
        <v>270</v>
      </c>
      <c r="D36" s="1" t="s">
        <v>102</v>
      </c>
      <c r="E36" s="1" t="s">
        <v>179</v>
      </c>
      <c r="F36" s="1" t="str">
        <f>VLOOKUP(E36,Sheet1!$A$1:$B$83,2)</f>
        <v>Cross Timbers</v>
      </c>
      <c r="G36" s="1" t="s">
        <v>83</v>
      </c>
      <c r="H36" s="6">
        <v>35.18065</v>
      </c>
      <c r="I36" s="6">
        <v>-96.522989999999993</v>
      </c>
      <c r="J36" s="4">
        <v>827</v>
      </c>
      <c r="K36" s="4">
        <v>371</v>
      </c>
      <c r="L36" s="5">
        <v>3301</v>
      </c>
      <c r="M36" s="4">
        <v>9.9</v>
      </c>
      <c r="N36" s="4">
        <f t="shared" si="0"/>
        <v>8.2905597347020876</v>
      </c>
      <c r="O36" s="4">
        <v>27.2</v>
      </c>
      <c r="P36" s="1" t="s">
        <v>291</v>
      </c>
      <c r="Q36" s="1">
        <v>23</v>
      </c>
      <c r="R36" s="1">
        <v>760</v>
      </c>
      <c r="S36" s="1" t="s">
        <v>489</v>
      </c>
    </row>
    <row r="37" spans="1:19" s="1" customFormat="1" ht="16.5" customHeight="1" x14ac:dyDescent="0.25">
      <c r="A37" s="1" t="s">
        <v>322</v>
      </c>
      <c r="B37" s="2">
        <v>1931</v>
      </c>
      <c r="C37" s="1" t="s">
        <v>78</v>
      </c>
      <c r="D37" s="1" t="s">
        <v>5</v>
      </c>
      <c r="E37" s="1" t="s">
        <v>79</v>
      </c>
      <c r="F37" s="1" t="str">
        <f>VLOOKUP(E37,Sheet1!$A$1:$B$83,2)</f>
        <v>Central Great Plains</v>
      </c>
      <c r="G37" s="1" t="s">
        <v>80</v>
      </c>
      <c r="H37" s="6">
        <v>35.432200000000002</v>
      </c>
      <c r="I37" s="6">
        <v>-99.218019999999996</v>
      </c>
      <c r="J37" s="5">
        <v>1730</v>
      </c>
      <c r="K37" s="4">
        <v>283</v>
      </c>
      <c r="L37" s="5">
        <v>3140</v>
      </c>
      <c r="M37" s="4">
        <v>7.7</v>
      </c>
      <c r="N37" s="4">
        <f t="shared" si="0"/>
        <v>8.3210397337267281</v>
      </c>
      <c r="O37" s="4">
        <v>27.3</v>
      </c>
      <c r="P37" s="1" t="s">
        <v>286</v>
      </c>
      <c r="Q37" s="1">
        <v>45</v>
      </c>
      <c r="R37" s="1">
        <v>1000</v>
      </c>
      <c r="S37" s="1" t="s">
        <v>489</v>
      </c>
    </row>
    <row r="38" spans="1:19" s="1" customFormat="1" ht="16.5" customHeight="1" x14ac:dyDescent="0.25">
      <c r="A38" s="1" t="s">
        <v>365</v>
      </c>
      <c r="B38" s="2">
        <v>1984</v>
      </c>
      <c r="C38" s="1" t="s">
        <v>221</v>
      </c>
      <c r="D38" s="1" t="s">
        <v>13</v>
      </c>
      <c r="E38" s="1" t="s">
        <v>24</v>
      </c>
      <c r="F38" s="1" t="s">
        <v>443</v>
      </c>
      <c r="G38" s="1" t="s">
        <v>222</v>
      </c>
      <c r="H38" s="6">
        <v>35.524070000000002</v>
      </c>
      <c r="I38" s="6">
        <v>-96.724400000000003</v>
      </c>
      <c r="J38" s="4">
        <v>868</v>
      </c>
      <c r="K38" s="4">
        <v>225</v>
      </c>
      <c r="L38" s="5">
        <v>2415</v>
      </c>
      <c r="M38" s="4">
        <v>5.7</v>
      </c>
      <c r="N38" s="4">
        <f t="shared" si="0"/>
        <v>8.4124797308006496</v>
      </c>
      <c r="O38" s="4">
        <v>27.6</v>
      </c>
      <c r="P38" s="1" t="s">
        <v>290</v>
      </c>
      <c r="Q38" s="1">
        <v>23</v>
      </c>
      <c r="R38" s="1">
        <v>760</v>
      </c>
      <c r="S38" s="1" t="s">
        <v>489</v>
      </c>
    </row>
    <row r="39" spans="1:19" s="1" customFormat="1" ht="16.5" customHeight="1" x14ac:dyDescent="0.25">
      <c r="A39" s="1" t="s">
        <v>433</v>
      </c>
      <c r="B39" s="2">
        <v>1954</v>
      </c>
      <c r="C39" s="1" t="s">
        <v>4</v>
      </c>
      <c r="D39" s="1" t="s">
        <v>1</v>
      </c>
      <c r="E39" s="1" t="s">
        <v>151</v>
      </c>
      <c r="F39" s="1" t="str">
        <f>VLOOKUP(E39,Sheet1!$A$1:$B$83,2)</f>
        <v>Central Great Plains</v>
      </c>
      <c r="G39" s="1" t="s">
        <v>297</v>
      </c>
      <c r="H39" s="6">
        <v>34.831510000000002</v>
      </c>
      <c r="I39" s="6">
        <v>-99.924469999999999</v>
      </c>
      <c r="J39" s="5">
        <v>1804</v>
      </c>
      <c r="K39" s="4">
        <v>35.700000000000003</v>
      </c>
      <c r="L39" s="4">
        <v>560</v>
      </c>
      <c r="M39" s="4">
        <v>1.6</v>
      </c>
      <c r="N39" s="4">
        <f t="shared" si="0"/>
        <v>8.8391997171456094</v>
      </c>
      <c r="O39" s="4">
        <v>29</v>
      </c>
      <c r="P39" s="1" t="s">
        <v>283</v>
      </c>
      <c r="Q39" s="1">
        <v>45</v>
      </c>
      <c r="R39" s="1">
        <v>1000</v>
      </c>
      <c r="S39" s="1" t="s">
        <v>489</v>
      </c>
    </row>
    <row r="40" spans="1:19" s="1" customFormat="1" ht="16.5" customHeight="1" x14ac:dyDescent="0.25">
      <c r="A40" s="1" t="s">
        <v>311</v>
      </c>
      <c r="B40" s="2">
        <v>1954</v>
      </c>
      <c r="C40" s="1" t="s">
        <v>4</v>
      </c>
      <c r="D40" s="1" t="s">
        <v>9</v>
      </c>
      <c r="E40" s="1" t="s">
        <v>45</v>
      </c>
      <c r="F40" s="1" t="str">
        <f>VLOOKUP(E40,Sheet1!$A$1:$B$83,2)</f>
        <v>Cross Timbers</v>
      </c>
      <c r="G40" s="1" t="s">
        <v>46</v>
      </c>
      <c r="H40" s="6">
        <v>34.966999999999999</v>
      </c>
      <c r="I40" s="6">
        <v>-98.063919999999996</v>
      </c>
      <c r="J40" s="5">
        <v>1207</v>
      </c>
      <c r="K40" s="4">
        <v>168</v>
      </c>
      <c r="L40" s="5">
        <v>2140</v>
      </c>
      <c r="M40" s="4">
        <v>3.9</v>
      </c>
      <c r="N40" s="4">
        <f t="shared" si="0"/>
        <v>8.8391997171456094</v>
      </c>
      <c r="O40" s="4">
        <v>29</v>
      </c>
      <c r="P40" s="1" t="s">
        <v>284</v>
      </c>
      <c r="Q40" s="1">
        <v>23</v>
      </c>
      <c r="R40" s="1">
        <v>760</v>
      </c>
      <c r="S40" s="1" t="s">
        <v>489</v>
      </c>
    </row>
    <row r="41" spans="1:19" s="1" customFormat="1" ht="16.5" customHeight="1" x14ac:dyDescent="0.25">
      <c r="A41" s="1" t="s">
        <v>371</v>
      </c>
      <c r="B41" s="2">
        <v>1954</v>
      </c>
      <c r="C41" s="1" t="s">
        <v>209</v>
      </c>
      <c r="D41" s="1" t="s">
        <v>9</v>
      </c>
      <c r="E41" s="1" t="s">
        <v>210</v>
      </c>
      <c r="F41" s="1" t="s">
        <v>439</v>
      </c>
      <c r="G41" s="1" t="s">
        <v>211</v>
      </c>
      <c r="H41" s="6">
        <v>34.769889999999997</v>
      </c>
      <c r="I41" s="6">
        <v>-97.207359999999994</v>
      </c>
      <c r="J41" s="4">
        <v>900</v>
      </c>
      <c r="K41" s="4">
        <v>750</v>
      </c>
      <c r="L41" s="5">
        <v>8730</v>
      </c>
      <c r="M41" s="4">
        <v>8.1999999999999993</v>
      </c>
      <c r="N41" s="4">
        <f t="shared" si="0"/>
        <v>9.1135197083673685</v>
      </c>
      <c r="O41" s="4">
        <v>29.9</v>
      </c>
      <c r="P41" s="1" t="s">
        <v>291</v>
      </c>
      <c r="Q41" s="1">
        <v>45</v>
      </c>
      <c r="R41" s="1">
        <v>1000</v>
      </c>
      <c r="S41" s="1" t="s">
        <v>489</v>
      </c>
    </row>
    <row r="42" spans="1:19" s="1" customFormat="1" ht="16.5" customHeight="1" x14ac:dyDescent="0.25">
      <c r="A42" s="1" t="s">
        <v>394</v>
      </c>
      <c r="B42" s="2">
        <v>1953</v>
      </c>
      <c r="C42" s="1" t="s">
        <v>4</v>
      </c>
      <c r="D42" s="1" t="s">
        <v>95</v>
      </c>
      <c r="E42" s="1" t="s">
        <v>170</v>
      </c>
      <c r="F42" s="1" t="s">
        <v>439</v>
      </c>
      <c r="G42" s="1" t="s">
        <v>171</v>
      </c>
      <c r="H42" s="6">
        <v>34.183480000000003</v>
      </c>
      <c r="I42" s="6">
        <v>-98.057479999999998</v>
      </c>
      <c r="J42" s="4">
        <v>923</v>
      </c>
      <c r="K42" s="4">
        <v>40</v>
      </c>
      <c r="L42" s="4">
        <v>662</v>
      </c>
      <c r="M42" s="4">
        <v>1.7</v>
      </c>
      <c r="N42" s="4">
        <f t="shared" si="0"/>
        <v>9.143999707392009</v>
      </c>
      <c r="O42" s="4">
        <v>30</v>
      </c>
      <c r="P42" s="1" t="s">
        <v>283</v>
      </c>
      <c r="Q42" s="1">
        <v>45</v>
      </c>
      <c r="R42" s="1">
        <v>1000</v>
      </c>
      <c r="S42" s="1" t="s">
        <v>489</v>
      </c>
    </row>
    <row r="43" spans="1:19" s="1" customFormat="1" ht="16.5" customHeight="1" x14ac:dyDescent="0.25">
      <c r="A43" s="1" t="s">
        <v>406</v>
      </c>
      <c r="B43" s="2">
        <v>1965</v>
      </c>
      <c r="C43" s="1" t="s">
        <v>81</v>
      </c>
      <c r="D43" s="1" t="s">
        <v>20</v>
      </c>
      <c r="E43" s="1" t="s">
        <v>82</v>
      </c>
      <c r="F43" s="1" t="str">
        <f>VLOOKUP(E43,Sheet1!$A$1:$B$83,2)</f>
        <v>Cross Timbers</v>
      </c>
      <c r="G43" s="1" t="s">
        <v>83</v>
      </c>
      <c r="H43" s="6">
        <v>34.578580000000002</v>
      </c>
      <c r="I43" s="6">
        <v>-96.229259999999996</v>
      </c>
      <c r="J43" s="4">
        <v>619</v>
      </c>
      <c r="K43" s="4">
        <v>346</v>
      </c>
      <c r="L43" s="5">
        <v>3466</v>
      </c>
      <c r="M43" s="4">
        <v>13.5</v>
      </c>
      <c r="N43" s="4">
        <f t="shared" si="0"/>
        <v>9.143999707392009</v>
      </c>
      <c r="O43" s="4">
        <v>30</v>
      </c>
      <c r="P43" s="1" t="s">
        <v>286</v>
      </c>
      <c r="Q43" s="1">
        <v>23</v>
      </c>
      <c r="R43" s="1">
        <v>760</v>
      </c>
      <c r="S43" s="1" t="s">
        <v>489</v>
      </c>
    </row>
    <row r="44" spans="1:19" s="1" customFormat="1" ht="16.5" customHeight="1" x14ac:dyDescent="0.25">
      <c r="A44" s="1" t="s">
        <v>345</v>
      </c>
      <c r="B44" s="2">
        <v>1902</v>
      </c>
      <c r="C44" s="1" t="s">
        <v>191</v>
      </c>
      <c r="D44" s="1" t="s">
        <v>102</v>
      </c>
      <c r="E44" s="1" t="s">
        <v>192</v>
      </c>
      <c r="F44" s="1" t="s">
        <v>450</v>
      </c>
      <c r="G44" s="1" t="s">
        <v>246</v>
      </c>
      <c r="H44" s="6">
        <v>34.978450000000002</v>
      </c>
      <c r="I44" s="6">
        <v>-95.794430000000006</v>
      </c>
      <c r="J44" s="4">
        <v>650</v>
      </c>
      <c r="K44" s="4">
        <v>91</v>
      </c>
      <c r="L44" s="5">
        <v>1200</v>
      </c>
      <c r="M44" s="4">
        <v>3.2</v>
      </c>
      <c r="N44" s="4">
        <f t="shared" si="0"/>
        <v>9.2049597054412899</v>
      </c>
      <c r="O44" s="4">
        <v>30.2</v>
      </c>
      <c r="P44" s="1" t="s">
        <v>291</v>
      </c>
      <c r="Q44" s="1">
        <v>23</v>
      </c>
      <c r="R44" s="1">
        <v>640</v>
      </c>
      <c r="S44" s="1" t="s">
        <v>489</v>
      </c>
    </row>
    <row r="45" spans="1:19" s="1" customFormat="1" ht="16.5" customHeight="1" x14ac:dyDescent="0.25">
      <c r="A45" s="1" t="s">
        <v>92</v>
      </c>
      <c r="B45" s="2">
        <v>1936</v>
      </c>
      <c r="C45" s="1" t="s">
        <v>75</v>
      </c>
      <c r="D45" s="1" t="s">
        <v>35</v>
      </c>
      <c r="E45" s="1" t="s">
        <v>76</v>
      </c>
      <c r="F45" s="1" t="str">
        <f>VLOOKUP(E45,Sheet1!$A$1:$B$83,2)</f>
        <v>Central Great Plains</v>
      </c>
      <c r="G45" s="1" t="s">
        <v>77</v>
      </c>
      <c r="H45" s="6">
        <v>36.283230000000003</v>
      </c>
      <c r="I45" s="6">
        <v>-96.577820000000003</v>
      </c>
      <c r="J45" s="4">
        <v>763</v>
      </c>
      <c r="K45" s="4">
        <v>159</v>
      </c>
      <c r="L45" s="5">
        <v>2200</v>
      </c>
      <c r="M45" s="4">
        <v>6.8</v>
      </c>
      <c r="N45" s="4">
        <f t="shared" si="0"/>
        <v>9.2049597054412899</v>
      </c>
      <c r="O45" s="4">
        <v>30.2</v>
      </c>
      <c r="P45" s="1" t="s">
        <v>286</v>
      </c>
      <c r="Q45" s="1">
        <v>45</v>
      </c>
      <c r="R45" s="1">
        <v>1000</v>
      </c>
      <c r="S45" s="1" t="s">
        <v>489</v>
      </c>
    </row>
    <row r="46" spans="1:19" s="1" customFormat="1" ht="16.5" customHeight="1" x14ac:dyDescent="0.25">
      <c r="A46" s="1" t="s">
        <v>434</v>
      </c>
      <c r="B46" s="2">
        <v>1979</v>
      </c>
      <c r="C46" s="1" t="s">
        <v>152</v>
      </c>
      <c r="D46" s="1" t="s">
        <v>9</v>
      </c>
      <c r="E46" s="1" t="s">
        <v>17</v>
      </c>
      <c r="F46" s="1" t="str">
        <f>VLOOKUP(E46,Sheet1!$A$1:$B$83,2)</f>
        <v>Cross Timbers</v>
      </c>
      <c r="G46" s="1" t="s">
        <v>153</v>
      </c>
      <c r="H46" s="6">
        <v>34.23733</v>
      </c>
      <c r="I46" s="6">
        <v>-97.452330000000003</v>
      </c>
      <c r="J46" s="4">
        <v>888</v>
      </c>
      <c r="K46" s="4">
        <v>324</v>
      </c>
      <c r="L46" s="5">
        <v>3231</v>
      </c>
      <c r="M46" s="4">
        <v>5.4</v>
      </c>
      <c r="N46" s="4">
        <f t="shared" si="0"/>
        <v>9.2354397044659304</v>
      </c>
      <c r="O46" s="4">
        <v>30.3</v>
      </c>
      <c r="P46" s="1" t="s">
        <v>291</v>
      </c>
      <c r="Q46" s="1">
        <v>23</v>
      </c>
      <c r="R46" s="1">
        <v>760</v>
      </c>
      <c r="S46" s="1" t="s">
        <v>489</v>
      </c>
    </row>
    <row r="47" spans="1:19" s="1" customFormat="1" ht="16.5" customHeight="1" x14ac:dyDescent="0.25">
      <c r="A47" s="1" t="s">
        <v>74</v>
      </c>
      <c r="B47" s="2">
        <v>1948</v>
      </c>
      <c r="C47" s="1" t="s">
        <v>72</v>
      </c>
      <c r="D47" s="1" t="s">
        <v>9</v>
      </c>
      <c r="E47" s="1" t="s">
        <v>73</v>
      </c>
      <c r="F47" s="1" t="str">
        <f>VLOOKUP(E47,Sheet1!$A$1:$B$83,2)</f>
        <v>Cross Timbers</v>
      </c>
      <c r="G47" s="1" t="s">
        <v>74</v>
      </c>
      <c r="H47" s="6">
        <v>34.5871</v>
      </c>
      <c r="I47" s="6">
        <v>-97.846429999999998</v>
      </c>
      <c r="J47" s="5">
        <v>1150</v>
      </c>
      <c r="K47" s="4">
        <v>722</v>
      </c>
      <c r="L47" s="5">
        <v>7710</v>
      </c>
      <c r="M47" s="4">
        <v>9.6999999999999993</v>
      </c>
      <c r="N47" s="4">
        <f t="shared" si="0"/>
        <v>9.3878396995891293</v>
      </c>
      <c r="O47" s="4">
        <v>30.8</v>
      </c>
      <c r="P47" s="1" t="s">
        <v>286</v>
      </c>
      <c r="Q47" s="1">
        <v>23</v>
      </c>
      <c r="R47" s="1">
        <v>760</v>
      </c>
      <c r="S47" s="1" t="s">
        <v>489</v>
      </c>
    </row>
    <row r="48" spans="1:19" s="1" customFormat="1" ht="16.5" customHeight="1" x14ac:dyDescent="0.25">
      <c r="A48" s="1" t="s">
        <v>304</v>
      </c>
      <c r="B48" s="2">
        <v>1910</v>
      </c>
      <c r="C48" s="1" t="s">
        <v>16</v>
      </c>
      <c r="D48" s="1" t="s">
        <v>9</v>
      </c>
      <c r="E48" s="1" t="s">
        <v>17</v>
      </c>
      <c r="F48" s="1" t="str">
        <f>VLOOKUP(E48,Sheet1!$A$1:$B$83,2)</f>
        <v>Cross Timbers</v>
      </c>
      <c r="G48" s="1" t="s">
        <v>18</v>
      </c>
      <c r="H48" s="6">
        <v>34.22336</v>
      </c>
      <c r="I48" s="6">
        <v>-97.158140000000003</v>
      </c>
      <c r="J48" s="4">
        <v>818</v>
      </c>
      <c r="K48" s="4">
        <v>159</v>
      </c>
      <c r="L48" s="5">
        <v>2057</v>
      </c>
      <c r="M48" s="4">
        <v>5.8</v>
      </c>
      <c r="N48" s="4">
        <f t="shared" si="0"/>
        <v>9.6621596908108902</v>
      </c>
      <c r="O48" s="4">
        <v>31.7</v>
      </c>
      <c r="P48" s="1" t="s">
        <v>287</v>
      </c>
      <c r="Q48" s="1">
        <v>23</v>
      </c>
      <c r="R48" s="1">
        <v>760</v>
      </c>
      <c r="S48" s="1" t="s">
        <v>489</v>
      </c>
    </row>
    <row r="49" spans="1:19" s="1" customFormat="1" ht="16.5" customHeight="1" x14ac:dyDescent="0.25">
      <c r="A49" s="1" t="s">
        <v>403</v>
      </c>
      <c r="B49" s="2">
        <v>1950</v>
      </c>
      <c r="C49" s="1" t="s">
        <v>12</v>
      </c>
      <c r="D49" s="1" t="s">
        <v>26</v>
      </c>
      <c r="E49" s="1" t="s">
        <v>156</v>
      </c>
      <c r="F49" s="1" t="str">
        <f>VLOOKUP(E49,Sheet1!$A$1:$B$83,2)</f>
        <v>Cross Timbers</v>
      </c>
      <c r="G49" s="1" t="s">
        <v>157</v>
      </c>
      <c r="H49" s="6">
        <v>35.952680000000001</v>
      </c>
      <c r="I49" s="6">
        <v>-96.309079999999994</v>
      </c>
      <c r="J49" s="4">
        <v>761</v>
      </c>
      <c r="K49" s="4">
        <v>652</v>
      </c>
      <c r="L49" s="5">
        <v>5392</v>
      </c>
      <c r="M49" s="4">
        <v>24.6</v>
      </c>
      <c r="N49" s="4">
        <f t="shared" si="0"/>
        <v>9.6926396898355307</v>
      </c>
      <c r="O49" s="4">
        <v>31.8</v>
      </c>
      <c r="P49" s="1" t="s">
        <v>291</v>
      </c>
      <c r="Q49" s="1">
        <v>23</v>
      </c>
      <c r="R49" s="1">
        <v>760</v>
      </c>
      <c r="S49" s="1" t="s">
        <v>489</v>
      </c>
    </row>
    <row r="50" spans="1:19" s="1" customFormat="1" ht="16.5" customHeight="1" x14ac:dyDescent="0.25">
      <c r="A50" s="1" t="s">
        <v>426</v>
      </c>
      <c r="B50" s="2">
        <v>1942</v>
      </c>
      <c r="C50" s="1" t="s">
        <v>12</v>
      </c>
      <c r="D50" s="1" t="s">
        <v>47</v>
      </c>
      <c r="E50" s="1" t="s">
        <v>134</v>
      </c>
      <c r="F50" s="1" t="str">
        <f>VLOOKUP(E50,Sheet1!$A$1:$B$83,2)</f>
        <v>Central Great Plains</v>
      </c>
      <c r="G50" s="1" t="s">
        <v>135</v>
      </c>
      <c r="H50" s="6">
        <v>36.554749999999999</v>
      </c>
      <c r="I50" s="6">
        <v>-99.575029999999998</v>
      </c>
      <c r="J50" s="5">
        <v>2004</v>
      </c>
      <c r="K50" s="5">
        <v>1820</v>
      </c>
      <c r="L50" s="5">
        <v>13900</v>
      </c>
      <c r="M50" s="4">
        <v>17</v>
      </c>
      <c r="N50" s="4">
        <f t="shared" si="0"/>
        <v>9.9059996830080106</v>
      </c>
      <c r="O50" s="4">
        <v>32.5</v>
      </c>
      <c r="P50" s="1" t="s">
        <v>291</v>
      </c>
      <c r="Q50" s="1">
        <v>45</v>
      </c>
      <c r="R50" s="1">
        <v>1000</v>
      </c>
      <c r="S50" s="1" t="s">
        <v>489</v>
      </c>
    </row>
    <row r="51" spans="1:19" s="1" customFormat="1" ht="16.5" customHeight="1" x14ac:dyDescent="0.25">
      <c r="A51" s="1" t="s">
        <v>328</v>
      </c>
      <c r="B51" s="2">
        <v>1997</v>
      </c>
      <c r="C51" s="1" t="s">
        <v>266</v>
      </c>
      <c r="D51" s="1" t="s">
        <v>13</v>
      </c>
      <c r="E51" s="1" t="s">
        <v>233</v>
      </c>
      <c r="F51" s="1" t="s">
        <v>443</v>
      </c>
      <c r="G51" s="1" t="s">
        <v>267</v>
      </c>
      <c r="H51" s="6">
        <v>35.409799999999997</v>
      </c>
      <c r="I51" s="6">
        <v>-97.107420000000005</v>
      </c>
      <c r="J51" s="5">
        <v>1074</v>
      </c>
      <c r="K51" s="5">
        <v>1142</v>
      </c>
      <c r="L51" s="5">
        <v>14065</v>
      </c>
      <c r="M51" s="4">
        <v>17</v>
      </c>
      <c r="N51" s="4">
        <f t="shared" si="0"/>
        <v>9.9059996830080106</v>
      </c>
      <c r="O51" s="4">
        <v>32.5</v>
      </c>
      <c r="P51" s="1" t="s">
        <v>291</v>
      </c>
      <c r="Q51" s="1">
        <v>23</v>
      </c>
      <c r="R51" s="1">
        <v>760</v>
      </c>
      <c r="S51" s="1" t="s">
        <v>489</v>
      </c>
    </row>
    <row r="52" spans="1:19" s="1" customFormat="1" ht="16.5" customHeight="1" x14ac:dyDescent="0.25">
      <c r="A52" s="1" t="s">
        <v>317</v>
      </c>
      <c r="B52" s="2">
        <v>1937</v>
      </c>
      <c r="C52" s="1" t="s">
        <v>60</v>
      </c>
      <c r="D52" s="1" t="s">
        <v>42</v>
      </c>
      <c r="E52" s="1" t="s">
        <v>61</v>
      </c>
      <c r="F52" s="1" t="str">
        <f>VLOOKUP(E52,Sheet1!$A$1:$B$83,2)</f>
        <v>Arkansas Valley</v>
      </c>
      <c r="G52" s="1" t="s">
        <v>62</v>
      </c>
      <c r="H52" s="6">
        <v>34.782400000000003</v>
      </c>
      <c r="I52" s="6">
        <v>-94.694280000000006</v>
      </c>
      <c r="J52" s="4">
        <v>718</v>
      </c>
      <c r="K52" s="4">
        <v>78</v>
      </c>
      <c r="L52" s="5">
        <v>1000</v>
      </c>
      <c r="M52" s="4">
        <v>2.6</v>
      </c>
      <c r="N52" s="4">
        <f t="shared" si="0"/>
        <v>9.9974396800819303</v>
      </c>
      <c r="O52" s="4">
        <v>32.799999999999997</v>
      </c>
      <c r="P52" s="1" t="s">
        <v>286</v>
      </c>
      <c r="Q52" s="1">
        <v>23</v>
      </c>
      <c r="R52" s="1">
        <v>640</v>
      </c>
      <c r="S52" s="1" t="s">
        <v>489</v>
      </c>
    </row>
    <row r="53" spans="1:19" s="1" customFormat="1" ht="16.5" customHeight="1" x14ac:dyDescent="0.25">
      <c r="A53" s="1" t="s">
        <v>407</v>
      </c>
      <c r="B53" s="2">
        <v>1983</v>
      </c>
      <c r="C53" s="1" t="s">
        <v>12</v>
      </c>
      <c r="D53" s="1" t="s">
        <v>26</v>
      </c>
      <c r="E53" s="1" t="s">
        <v>86</v>
      </c>
      <c r="F53" s="1" t="str">
        <f>VLOOKUP(E53,Sheet1!$A$1:$B$83,2)</f>
        <v>Central Irregular Plains</v>
      </c>
      <c r="G53" s="1" t="s">
        <v>87</v>
      </c>
      <c r="H53" s="6">
        <v>36.886679999999998</v>
      </c>
      <c r="I53" s="6">
        <v>-95.951539999999994</v>
      </c>
      <c r="J53" s="4">
        <v>710</v>
      </c>
      <c r="K53" s="5">
        <v>4850</v>
      </c>
      <c r="L53" s="5">
        <v>43400</v>
      </c>
      <c r="M53" s="4">
        <v>50.7</v>
      </c>
      <c r="N53" s="4">
        <f t="shared" si="0"/>
        <v>10.21079967325441</v>
      </c>
      <c r="O53" s="4">
        <v>33.5</v>
      </c>
      <c r="P53" s="1" t="s">
        <v>289</v>
      </c>
      <c r="Q53" s="1">
        <v>27</v>
      </c>
      <c r="R53" s="1">
        <v>780</v>
      </c>
      <c r="S53" s="1" t="s">
        <v>489</v>
      </c>
    </row>
    <row r="54" spans="1:19" s="1" customFormat="1" ht="16.5" customHeight="1" x14ac:dyDescent="0.25">
      <c r="A54" s="1" t="s">
        <v>404</v>
      </c>
      <c r="B54" s="2">
        <v>1928</v>
      </c>
      <c r="C54" s="1" t="s">
        <v>155</v>
      </c>
      <c r="D54" s="1" t="s">
        <v>102</v>
      </c>
      <c r="E54" s="1" t="s">
        <v>103</v>
      </c>
      <c r="F54" s="1" t="s">
        <v>443</v>
      </c>
      <c r="G54" s="1" t="s">
        <v>135</v>
      </c>
      <c r="H54" s="6">
        <v>35.418050000000001</v>
      </c>
      <c r="I54" s="6">
        <v>-95.923829999999995</v>
      </c>
      <c r="J54" s="4">
        <v>660</v>
      </c>
      <c r="K54" s="4">
        <v>525</v>
      </c>
      <c r="L54" s="5">
        <v>5631</v>
      </c>
      <c r="M54" s="4">
        <v>11.9</v>
      </c>
      <c r="N54" s="4">
        <f t="shared" si="0"/>
        <v>10.21079967325441</v>
      </c>
      <c r="O54" s="4">
        <v>33.5</v>
      </c>
      <c r="P54" s="1" t="s">
        <v>291</v>
      </c>
      <c r="Q54" s="1">
        <v>23</v>
      </c>
      <c r="R54" s="1">
        <v>760</v>
      </c>
      <c r="S54" s="1" t="s">
        <v>489</v>
      </c>
    </row>
    <row r="55" spans="1:19" s="1" customFormat="1" ht="16.5" customHeight="1" x14ac:dyDescent="0.25">
      <c r="A55" s="1" t="s">
        <v>409</v>
      </c>
      <c r="B55" s="2">
        <v>1950</v>
      </c>
      <c r="C55" s="1" t="s">
        <v>90</v>
      </c>
      <c r="D55" s="1" t="s">
        <v>35</v>
      </c>
      <c r="E55" s="1" t="s">
        <v>36</v>
      </c>
      <c r="F55" s="1" t="str">
        <f>VLOOKUP(E55,Sheet1!$A$1:$B$83,2)</f>
        <v>Central Great Plains</v>
      </c>
      <c r="G55" s="1" t="s">
        <v>91</v>
      </c>
      <c r="H55" s="6">
        <v>35.99183</v>
      </c>
      <c r="I55" s="6">
        <v>-96.876769999999993</v>
      </c>
      <c r="J55" s="4">
        <v>838</v>
      </c>
      <c r="K55" s="4">
        <v>591</v>
      </c>
      <c r="L55" s="5">
        <v>3044</v>
      </c>
      <c r="M55" s="4">
        <v>8</v>
      </c>
      <c r="N55" s="4">
        <f t="shared" si="0"/>
        <v>10.485119664476171</v>
      </c>
      <c r="O55" s="4">
        <v>34.4</v>
      </c>
      <c r="P55" s="1" t="s">
        <v>289</v>
      </c>
      <c r="Q55" s="1">
        <v>45</v>
      </c>
      <c r="R55" s="1">
        <v>1000</v>
      </c>
      <c r="S55" s="1" t="s">
        <v>489</v>
      </c>
    </row>
    <row r="56" spans="1:19" s="1" customFormat="1" ht="16.5" customHeight="1" x14ac:dyDescent="0.25">
      <c r="A56" s="1" t="s">
        <v>354</v>
      </c>
      <c r="B56" s="2">
        <v>1960</v>
      </c>
      <c r="C56" s="1" t="s">
        <v>232</v>
      </c>
      <c r="D56" s="1" t="s">
        <v>13</v>
      </c>
      <c r="E56" s="1" t="s">
        <v>233</v>
      </c>
      <c r="F56" s="1" t="s">
        <v>443</v>
      </c>
      <c r="G56" s="1" t="s">
        <v>234</v>
      </c>
      <c r="H56" s="6">
        <v>35.34639</v>
      </c>
      <c r="I56" s="6">
        <v>-97.060479999999998</v>
      </c>
      <c r="J56" s="5">
        <v>1067</v>
      </c>
      <c r="K56" s="5">
        <v>1100</v>
      </c>
      <c r="L56" s="5">
        <v>11400</v>
      </c>
      <c r="M56" s="4">
        <v>9</v>
      </c>
      <c r="N56" s="4">
        <f t="shared" si="0"/>
        <v>10.607039660574729</v>
      </c>
      <c r="O56" s="4">
        <v>34.799999999999997</v>
      </c>
      <c r="P56" s="1" t="s">
        <v>291</v>
      </c>
      <c r="Q56" s="1">
        <v>23</v>
      </c>
      <c r="R56" s="1">
        <v>760</v>
      </c>
      <c r="S56" s="1" t="s">
        <v>489</v>
      </c>
    </row>
    <row r="57" spans="1:19" s="1" customFormat="1" ht="16.5" customHeight="1" x14ac:dyDescent="0.25">
      <c r="A57" s="1" t="s">
        <v>428</v>
      </c>
      <c r="B57" s="2">
        <v>1974</v>
      </c>
      <c r="C57" s="1" t="s">
        <v>138</v>
      </c>
      <c r="D57" s="1" t="s">
        <v>95</v>
      </c>
      <c r="E57" s="1" t="s">
        <v>139</v>
      </c>
      <c r="F57" s="1" t="str">
        <f>VLOOKUP(E57,Sheet1!$A$1:$B$83,2)</f>
        <v>Central Great Plains</v>
      </c>
      <c r="G57" s="1" t="s">
        <v>140</v>
      </c>
      <c r="H57" s="6">
        <v>34.518039999999999</v>
      </c>
      <c r="I57" s="6">
        <v>-98.88955</v>
      </c>
      <c r="J57" s="5">
        <v>1200</v>
      </c>
      <c r="K57" s="4">
        <v>876</v>
      </c>
      <c r="L57" s="5">
        <v>9715</v>
      </c>
      <c r="M57" s="4">
        <v>18.8</v>
      </c>
      <c r="N57" s="4">
        <f t="shared" si="0"/>
        <v>10.66799965862401</v>
      </c>
      <c r="O57" s="4">
        <v>35</v>
      </c>
      <c r="P57" s="1" t="s">
        <v>283</v>
      </c>
      <c r="Q57" s="1">
        <v>45</v>
      </c>
      <c r="R57" s="1">
        <v>1000</v>
      </c>
      <c r="S57" s="1" t="s">
        <v>489</v>
      </c>
    </row>
    <row r="58" spans="1:19" s="1" customFormat="1" ht="16.5" customHeight="1" x14ac:dyDescent="0.25">
      <c r="A58" s="1" t="s">
        <v>381</v>
      </c>
      <c r="B58" s="2">
        <v>1930</v>
      </c>
      <c r="C58" s="1" t="s">
        <v>191</v>
      </c>
      <c r="D58" s="1" t="s">
        <v>102</v>
      </c>
      <c r="E58" s="1" t="s">
        <v>192</v>
      </c>
      <c r="F58" s="1" t="s">
        <v>450</v>
      </c>
      <c r="G58" s="1" t="s">
        <v>193</v>
      </c>
      <c r="H58" s="6">
        <v>35.023690000000002</v>
      </c>
      <c r="I58" s="6">
        <v>-95.801749999999998</v>
      </c>
      <c r="J58" s="4">
        <v>620</v>
      </c>
      <c r="K58" s="5">
        <v>1521</v>
      </c>
      <c r="L58" s="5">
        <v>13398</v>
      </c>
      <c r="M58" s="4">
        <v>21.2</v>
      </c>
      <c r="N58" s="4">
        <f t="shared" si="0"/>
        <v>10.698479657648651</v>
      </c>
      <c r="O58" s="4">
        <v>35.1</v>
      </c>
      <c r="P58" s="1" t="s">
        <v>291</v>
      </c>
      <c r="Q58" s="1">
        <v>23</v>
      </c>
      <c r="R58" s="1">
        <v>640</v>
      </c>
      <c r="S58" s="1" t="s">
        <v>489</v>
      </c>
    </row>
    <row r="59" spans="1:19" s="1" customFormat="1" ht="16.5" customHeight="1" x14ac:dyDescent="0.25">
      <c r="A59" s="1" t="s">
        <v>312</v>
      </c>
      <c r="B59" s="2">
        <v>1948</v>
      </c>
      <c r="C59" s="1" t="s">
        <v>12</v>
      </c>
      <c r="D59" s="1" t="s">
        <v>47</v>
      </c>
      <c r="E59" s="1" t="s">
        <v>6</v>
      </c>
      <c r="F59" s="1" t="s">
        <v>439</v>
      </c>
      <c r="G59" s="1" t="s">
        <v>48</v>
      </c>
      <c r="H59" s="6">
        <v>36.078609999999998</v>
      </c>
      <c r="I59" s="6">
        <v>-98.606489999999994</v>
      </c>
      <c r="J59" s="5">
        <v>1615</v>
      </c>
      <c r="K59" s="5">
        <v>7910</v>
      </c>
      <c r="L59" s="5">
        <v>116000</v>
      </c>
      <c r="M59" s="4">
        <v>37.799999999999997</v>
      </c>
      <c r="N59" s="4">
        <f t="shared" si="0"/>
        <v>10.728959656673291</v>
      </c>
      <c r="O59" s="4">
        <v>35.200000000000003</v>
      </c>
      <c r="P59" s="1" t="s">
        <v>286</v>
      </c>
      <c r="Q59" s="1">
        <v>45</v>
      </c>
      <c r="R59" s="1">
        <v>1000</v>
      </c>
      <c r="S59" s="1" t="s">
        <v>489</v>
      </c>
    </row>
    <row r="60" spans="1:19" s="1" customFormat="1" ht="16.5" customHeight="1" x14ac:dyDescent="0.25">
      <c r="A60" s="1" t="s">
        <v>359</v>
      </c>
      <c r="B60" s="2">
        <v>1947</v>
      </c>
      <c r="C60" s="1" t="s">
        <v>229</v>
      </c>
      <c r="D60" s="1" t="s">
        <v>26</v>
      </c>
      <c r="E60" s="1" t="s">
        <v>156</v>
      </c>
      <c r="F60" s="1" t="str">
        <f>VLOOKUP(E60,Sheet1!$A$1:$B$83,2)</f>
        <v>Cross Timbers</v>
      </c>
      <c r="G60" s="1" t="s">
        <v>11</v>
      </c>
      <c r="H60" s="6">
        <v>36.034219999999998</v>
      </c>
      <c r="I60" s="6">
        <v>-96.151539999999997</v>
      </c>
      <c r="J60" s="4">
        <v>716</v>
      </c>
      <c r="K60" s="4">
        <v>277</v>
      </c>
      <c r="L60" s="5">
        <v>2543</v>
      </c>
      <c r="M60" s="4">
        <v>8</v>
      </c>
      <c r="N60" s="4">
        <f t="shared" si="0"/>
        <v>10.881359651796492</v>
      </c>
      <c r="O60" s="4">
        <v>35.700000000000003</v>
      </c>
      <c r="P60" s="1" t="s">
        <v>291</v>
      </c>
      <c r="Q60" s="1">
        <v>23</v>
      </c>
      <c r="R60" s="1">
        <v>760</v>
      </c>
      <c r="S60" s="1" t="s">
        <v>489</v>
      </c>
    </row>
    <row r="61" spans="1:19" s="1" customFormat="1" ht="16.5" customHeight="1" x14ac:dyDescent="0.25">
      <c r="A61" s="1" t="s">
        <v>413</v>
      </c>
      <c r="B61" s="2">
        <v>1976</v>
      </c>
      <c r="C61" s="1" t="s">
        <v>101</v>
      </c>
      <c r="D61" s="1" t="s">
        <v>102</v>
      </c>
      <c r="E61" s="1" t="s">
        <v>103</v>
      </c>
      <c r="F61" s="1" t="s">
        <v>443</v>
      </c>
      <c r="G61" s="1" t="s">
        <v>104</v>
      </c>
      <c r="H61" s="6">
        <v>35.566879999999998</v>
      </c>
      <c r="I61" s="6">
        <v>-96.100189999999998</v>
      </c>
      <c r="J61" s="4">
        <v>741</v>
      </c>
      <c r="K61" s="5">
        <v>1055</v>
      </c>
      <c r="L61" s="5">
        <v>17008</v>
      </c>
      <c r="M61" s="4">
        <v>22</v>
      </c>
      <c r="N61" s="4">
        <f t="shared" si="0"/>
        <v>10.972799648870412</v>
      </c>
      <c r="O61" s="4">
        <v>36</v>
      </c>
      <c r="P61" s="1" t="s">
        <v>289</v>
      </c>
      <c r="Q61" s="1">
        <v>23</v>
      </c>
      <c r="R61" s="1">
        <v>760</v>
      </c>
      <c r="S61" s="1" t="s">
        <v>489</v>
      </c>
    </row>
    <row r="62" spans="1:19" s="1" customFormat="1" ht="16.5" customHeight="1" x14ac:dyDescent="0.25">
      <c r="A62" s="1" t="s">
        <v>415</v>
      </c>
      <c r="B62" s="2">
        <v>1994</v>
      </c>
      <c r="C62" s="1" t="s">
        <v>106</v>
      </c>
      <c r="D62" s="1" t="s">
        <v>20</v>
      </c>
      <c r="E62" s="1" t="s">
        <v>107</v>
      </c>
      <c r="F62" s="1" t="s">
        <v>463</v>
      </c>
      <c r="G62" s="1" t="s">
        <v>108</v>
      </c>
      <c r="H62" s="6">
        <v>34.080849999999998</v>
      </c>
      <c r="I62" s="6">
        <v>-96.39425</v>
      </c>
      <c r="J62" s="4">
        <v>624</v>
      </c>
      <c r="K62" s="4">
        <v>278</v>
      </c>
      <c r="L62" s="5">
        <v>4309</v>
      </c>
      <c r="M62" s="4">
        <v>6.6</v>
      </c>
      <c r="N62" s="4">
        <f t="shared" si="0"/>
        <v>11.125199643993611</v>
      </c>
      <c r="O62" s="4">
        <v>36.5</v>
      </c>
      <c r="P62" s="1" t="s">
        <v>283</v>
      </c>
      <c r="Q62" s="1">
        <v>26</v>
      </c>
      <c r="R62" s="1">
        <v>530</v>
      </c>
      <c r="S62" s="1" t="s">
        <v>489</v>
      </c>
    </row>
    <row r="63" spans="1:19" s="1" customFormat="1" ht="16.5" customHeight="1" x14ac:dyDescent="0.25">
      <c r="A63" s="1" t="s">
        <v>349</v>
      </c>
      <c r="B63" s="2">
        <v>1958</v>
      </c>
      <c r="C63" s="1" t="s">
        <v>239</v>
      </c>
      <c r="D63" s="1" t="s">
        <v>102</v>
      </c>
      <c r="E63" s="1" t="s">
        <v>179</v>
      </c>
      <c r="F63" s="1" t="str">
        <f>VLOOKUP(E63,Sheet1!$A$1:$B$83,2)</f>
        <v>Cross Timbers</v>
      </c>
      <c r="G63" s="1" t="s">
        <v>240</v>
      </c>
      <c r="H63" s="6">
        <v>35.211489999999998</v>
      </c>
      <c r="I63" s="6">
        <v>-96.552599999999998</v>
      </c>
      <c r="J63" s="4">
        <v>868</v>
      </c>
      <c r="K63" s="4">
        <v>354</v>
      </c>
      <c r="L63" s="5">
        <v>5349</v>
      </c>
      <c r="M63" s="4">
        <v>14.3</v>
      </c>
      <c r="N63" s="4">
        <f t="shared" si="0"/>
        <v>11.308079638141452</v>
      </c>
      <c r="O63" s="4">
        <v>37.1</v>
      </c>
      <c r="P63" s="1" t="s">
        <v>291</v>
      </c>
      <c r="Q63" s="1">
        <v>23</v>
      </c>
      <c r="R63" s="1">
        <v>760</v>
      </c>
      <c r="S63" s="1" t="s">
        <v>489</v>
      </c>
    </row>
    <row r="64" spans="1:19" s="1" customFormat="1" ht="16.5" customHeight="1" x14ac:dyDescent="0.25">
      <c r="A64" s="1" t="s">
        <v>362</v>
      </c>
      <c r="B64" s="2">
        <v>1989</v>
      </c>
      <c r="C64" s="1" t="s">
        <v>209</v>
      </c>
      <c r="D64" s="1" t="s">
        <v>9</v>
      </c>
      <c r="E64" s="1" t="s">
        <v>210</v>
      </c>
      <c r="F64" s="1" t="s">
        <v>443</v>
      </c>
      <c r="G64" s="1" t="s">
        <v>227</v>
      </c>
      <c r="H64" s="6">
        <v>34.751019999999997</v>
      </c>
      <c r="I64" s="6">
        <v>-97.037899999999993</v>
      </c>
      <c r="J64" s="4">
        <v>979</v>
      </c>
      <c r="K64" s="4">
        <v>745</v>
      </c>
      <c r="L64" s="5">
        <v>14424</v>
      </c>
      <c r="M64" s="4">
        <v>12.1</v>
      </c>
      <c r="N64" s="4">
        <f t="shared" si="0"/>
        <v>11.399519635215372</v>
      </c>
      <c r="O64" s="4">
        <v>37.4</v>
      </c>
      <c r="P64" s="1" t="s">
        <v>290</v>
      </c>
      <c r="Q64" s="1">
        <v>23</v>
      </c>
      <c r="R64" s="1">
        <v>760</v>
      </c>
      <c r="S64" s="1" t="s">
        <v>489</v>
      </c>
    </row>
    <row r="65" spans="1:19" s="1" customFormat="1" ht="16.5" customHeight="1" x14ac:dyDescent="0.25">
      <c r="A65" s="1" t="s">
        <v>429</v>
      </c>
      <c r="B65" s="2">
        <v>1962</v>
      </c>
      <c r="C65" s="1" t="s">
        <v>72</v>
      </c>
      <c r="D65" s="1" t="s">
        <v>9</v>
      </c>
      <c r="E65" s="1" t="s">
        <v>73</v>
      </c>
      <c r="F65" s="1" t="str">
        <f>VLOOKUP(E65,Sheet1!$A$1:$B$83,2)</f>
        <v>Cross Timbers</v>
      </c>
      <c r="G65" s="1" t="s">
        <v>141</v>
      </c>
      <c r="H65" s="6">
        <v>34.594320000000003</v>
      </c>
      <c r="I65" s="6">
        <v>-97.679649999999995</v>
      </c>
      <c r="J65" s="5">
        <v>1076</v>
      </c>
      <c r="K65" s="5">
        <v>1500</v>
      </c>
      <c r="L65" s="5">
        <v>21100</v>
      </c>
      <c r="M65" s="4">
        <v>19</v>
      </c>
      <c r="N65" s="4">
        <f t="shared" si="0"/>
        <v>11.399519635215372</v>
      </c>
      <c r="O65" s="4">
        <v>37.4</v>
      </c>
      <c r="P65" s="1" t="s">
        <v>291</v>
      </c>
      <c r="Q65" s="1">
        <v>23</v>
      </c>
      <c r="R65" s="1">
        <v>760</v>
      </c>
      <c r="S65" s="1" t="s">
        <v>489</v>
      </c>
    </row>
    <row r="66" spans="1:19" s="1" customFormat="1" ht="16.5" customHeight="1" x14ac:dyDescent="0.25">
      <c r="A66" s="1" t="s">
        <v>423</v>
      </c>
      <c r="B66" s="2">
        <v>1936</v>
      </c>
      <c r="C66" s="1" t="s">
        <v>130</v>
      </c>
      <c r="D66" s="1" t="s">
        <v>35</v>
      </c>
      <c r="E66" s="1" t="s">
        <v>27</v>
      </c>
      <c r="F66" s="1" t="str">
        <f>VLOOKUP(E66,Sheet1!$A$1:$B$83,2)</f>
        <v>Cross Timbers</v>
      </c>
      <c r="G66" s="1" t="s">
        <v>131</v>
      </c>
      <c r="H66" s="6">
        <v>36.60933</v>
      </c>
      <c r="I66" s="6">
        <v>-96.72475</v>
      </c>
      <c r="J66" s="4">
        <v>890</v>
      </c>
      <c r="K66" s="4">
        <v>109</v>
      </c>
      <c r="L66" s="5">
        <v>1978</v>
      </c>
      <c r="M66" s="4">
        <v>4.5999999999999996</v>
      </c>
      <c r="N66" s="4">
        <f t="shared" si="0"/>
        <v>11.429999634240012</v>
      </c>
      <c r="O66" s="4">
        <v>37.5</v>
      </c>
      <c r="P66" s="1" t="s">
        <v>291</v>
      </c>
      <c r="Q66" s="1">
        <v>23</v>
      </c>
      <c r="R66" s="1">
        <v>760</v>
      </c>
      <c r="S66" s="1" t="s">
        <v>489</v>
      </c>
    </row>
    <row r="67" spans="1:19" s="1" customFormat="1" ht="16.5" customHeight="1" x14ac:dyDescent="0.25">
      <c r="A67" s="1" t="s">
        <v>324</v>
      </c>
      <c r="B67" s="2">
        <v>1949</v>
      </c>
      <c r="C67" s="1" t="s">
        <v>12</v>
      </c>
      <c r="D67" s="1" t="s">
        <v>42</v>
      </c>
      <c r="E67" s="1" t="s">
        <v>61</v>
      </c>
      <c r="F67" s="1" t="str">
        <f>VLOOKUP(E67,Sheet1!$A$1:$B$83,2)</f>
        <v>Arkansas Valley</v>
      </c>
      <c r="G67" s="1" t="s">
        <v>273</v>
      </c>
      <c r="H67" s="6">
        <v>34.935859999999998</v>
      </c>
      <c r="I67" s="6">
        <v>-94.715829999999997</v>
      </c>
      <c r="J67" s="4">
        <v>478</v>
      </c>
      <c r="K67" s="5">
        <v>6288</v>
      </c>
      <c r="L67" s="5">
        <v>50529</v>
      </c>
      <c r="M67" s="4">
        <v>91.3</v>
      </c>
      <c r="N67" s="4">
        <f t="shared" ref="N67:N130" si="1">O67/3.28084</f>
        <v>11.460479633264653</v>
      </c>
      <c r="O67" s="4">
        <v>37.6</v>
      </c>
      <c r="P67" s="1" t="s">
        <v>291</v>
      </c>
      <c r="Q67" s="1">
        <v>23</v>
      </c>
      <c r="R67" s="1">
        <v>640</v>
      </c>
      <c r="S67" s="1" t="s">
        <v>489</v>
      </c>
    </row>
    <row r="68" spans="1:19" s="1" customFormat="1" ht="16.5" customHeight="1" x14ac:dyDescent="0.25">
      <c r="A68" s="1" t="s">
        <v>44</v>
      </c>
      <c r="B68" s="2">
        <v>1964</v>
      </c>
      <c r="C68" s="1" t="s">
        <v>41</v>
      </c>
      <c r="D68" s="1" t="s">
        <v>42</v>
      </c>
      <c r="E68" s="1" t="s">
        <v>43</v>
      </c>
      <c r="F68" s="1" t="str">
        <f>VLOOKUP(E68,Sheet1!$A$1:$B$83,2)</f>
        <v>Boston Mountains</v>
      </c>
      <c r="G68" s="1" t="s">
        <v>44</v>
      </c>
      <c r="H68" s="6">
        <v>35.542769999999997</v>
      </c>
      <c r="I68" s="6">
        <v>-94.81756</v>
      </c>
      <c r="J68" s="4">
        <v>633</v>
      </c>
      <c r="K68" s="4">
        <v>227</v>
      </c>
      <c r="L68" s="5">
        <v>3534</v>
      </c>
      <c r="M68" s="4">
        <v>5.3</v>
      </c>
      <c r="N68" s="4">
        <f t="shared" si="1"/>
        <v>11.490959632289293</v>
      </c>
      <c r="O68" s="4">
        <v>37.700000000000003</v>
      </c>
      <c r="P68" s="1" t="s">
        <v>286</v>
      </c>
      <c r="Q68" s="1">
        <v>17</v>
      </c>
      <c r="R68" s="1">
        <v>690</v>
      </c>
      <c r="S68" s="1" t="s">
        <v>489</v>
      </c>
    </row>
    <row r="69" spans="1:19" s="1" customFormat="1" ht="16.5" customHeight="1" x14ac:dyDescent="0.25">
      <c r="A69" s="1" t="s">
        <v>356</v>
      </c>
      <c r="B69" s="2">
        <v>1979</v>
      </c>
      <c r="C69" s="1" t="s">
        <v>16</v>
      </c>
      <c r="D69" s="1" t="s">
        <v>9</v>
      </c>
      <c r="E69" s="1" t="s">
        <v>17</v>
      </c>
      <c r="F69" s="1" t="str">
        <f>VLOOKUP(E69,Sheet1!$A$1:$B$83,2)</f>
        <v>Cross Timbers</v>
      </c>
      <c r="G69" s="1" t="s">
        <v>11</v>
      </c>
      <c r="H69" s="6">
        <v>34.251669999999997</v>
      </c>
      <c r="I69" s="6">
        <v>-97.186160000000001</v>
      </c>
      <c r="J69" s="4">
        <v>808</v>
      </c>
      <c r="K69" s="4">
        <v>232</v>
      </c>
      <c r="L69" s="5">
        <v>3550</v>
      </c>
      <c r="M69" s="4">
        <v>5.3</v>
      </c>
      <c r="N69" s="4">
        <f t="shared" si="1"/>
        <v>11.521439631313932</v>
      </c>
      <c r="O69" s="4">
        <v>37.799999999999997</v>
      </c>
      <c r="P69" s="1" t="s">
        <v>291</v>
      </c>
      <c r="Q69" s="1">
        <v>23</v>
      </c>
      <c r="R69" s="1">
        <v>760</v>
      </c>
      <c r="S69" s="1" t="s">
        <v>489</v>
      </c>
    </row>
    <row r="70" spans="1:19" s="1" customFormat="1" ht="16.5" customHeight="1" x14ac:dyDescent="0.25">
      <c r="A70" s="1" t="s">
        <v>315</v>
      </c>
      <c r="B70" s="2">
        <v>1958</v>
      </c>
      <c r="C70" s="1" t="s">
        <v>4</v>
      </c>
      <c r="D70" s="1" t="s">
        <v>47</v>
      </c>
      <c r="E70" s="1" t="s">
        <v>53</v>
      </c>
      <c r="F70" s="1" t="str">
        <f>VLOOKUP(E70,Sheet1!$A$1:$B$83,2)</f>
        <v>Southwestern Tablelands</v>
      </c>
      <c r="G70" s="1" t="s">
        <v>54</v>
      </c>
      <c r="H70" s="6">
        <v>36.842010000000002</v>
      </c>
      <c r="I70" s="6">
        <v>-102.88287</v>
      </c>
      <c r="J70" s="5">
        <v>4298</v>
      </c>
      <c r="K70" s="4">
        <v>159</v>
      </c>
      <c r="L70" s="5">
        <v>1717</v>
      </c>
      <c r="M70" s="4">
        <v>3.8</v>
      </c>
      <c r="N70" s="4">
        <f t="shared" si="1"/>
        <v>11.582399629363213</v>
      </c>
      <c r="O70" s="4">
        <v>38</v>
      </c>
      <c r="P70" s="1" t="s">
        <v>286</v>
      </c>
      <c r="Q70" s="1">
        <v>24</v>
      </c>
      <c r="R70" s="1">
        <v>770</v>
      </c>
      <c r="S70" s="1" t="s">
        <v>489</v>
      </c>
    </row>
    <row r="71" spans="1:19" s="1" customFormat="1" ht="16.5" customHeight="1" x14ac:dyDescent="0.25">
      <c r="A71" s="1" t="s">
        <v>399</v>
      </c>
      <c r="B71" s="2">
        <v>1949</v>
      </c>
      <c r="C71" s="1" t="s">
        <v>164</v>
      </c>
      <c r="D71" s="1" t="s">
        <v>26</v>
      </c>
      <c r="E71" s="1" t="s">
        <v>27</v>
      </c>
      <c r="F71" s="1" t="str">
        <f>VLOOKUP(E71,Sheet1!$A$1:$B$83,2)</f>
        <v>Cross Timbers</v>
      </c>
      <c r="G71" s="1" t="s">
        <v>165</v>
      </c>
      <c r="H71" s="6">
        <v>36.809229999999999</v>
      </c>
      <c r="I71" s="6">
        <v>-96.038470000000004</v>
      </c>
      <c r="J71" s="4">
        <v>757</v>
      </c>
      <c r="K71" s="4">
        <v>268</v>
      </c>
      <c r="L71" s="5">
        <v>2776</v>
      </c>
      <c r="M71" s="4">
        <v>9.1</v>
      </c>
      <c r="N71" s="4">
        <f t="shared" si="1"/>
        <v>11.673839626437131</v>
      </c>
      <c r="O71" s="4">
        <v>38.299999999999997</v>
      </c>
      <c r="P71" s="1" t="s">
        <v>291</v>
      </c>
      <c r="Q71" s="1">
        <v>22</v>
      </c>
      <c r="R71" s="1">
        <v>760</v>
      </c>
      <c r="S71" s="1" t="s">
        <v>489</v>
      </c>
    </row>
    <row r="72" spans="1:19" s="1" customFormat="1" ht="16.5" customHeight="1" x14ac:dyDescent="0.25">
      <c r="A72" s="1" t="s">
        <v>116</v>
      </c>
      <c r="B72" s="2">
        <v>1960</v>
      </c>
      <c r="C72" s="1" t="s">
        <v>84</v>
      </c>
      <c r="D72" s="1" t="s">
        <v>9</v>
      </c>
      <c r="E72" s="1" t="s">
        <v>73</v>
      </c>
      <c r="F72" s="1" t="str">
        <f>VLOOKUP(E72,Sheet1!$A$1:$B$83,2)</f>
        <v>Cross Timbers</v>
      </c>
      <c r="G72" s="1" t="s">
        <v>85</v>
      </c>
      <c r="H72" s="6">
        <v>34.369300000000003</v>
      </c>
      <c r="I72" s="6">
        <v>-97.893270000000001</v>
      </c>
      <c r="J72" s="5">
        <v>1045</v>
      </c>
      <c r="K72" s="4">
        <v>184</v>
      </c>
      <c r="L72" s="5">
        <v>2500</v>
      </c>
      <c r="M72" s="4">
        <v>5.6</v>
      </c>
      <c r="N72" s="4">
        <f t="shared" si="1"/>
        <v>11.795759622535693</v>
      </c>
      <c r="O72" s="4">
        <v>38.700000000000003</v>
      </c>
      <c r="P72" s="1" t="s">
        <v>288</v>
      </c>
      <c r="Q72" s="1">
        <v>22</v>
      </c>
      <c r="R72" s="1">
        <v>760</v>
      </c>
      <c r="S72" s="1" t="s">
        <v>489</v>
      </c>
    </row>
    <row r="73" spans="1:19" s="1" customFormat="1" ht="16.5" customHeight="1" x14ac:dyDescent="0.25">
      <c r="A73" s="1" t="s">
        <v>305</v>
      </c>
      <c r="B73" s="2">
        <v>1990</v>
      </c>
      <c r="C73" s="1" t="s">
        <v>23</v>
      </c>
      <c r="D73" s="1" t="s">
        <v>13</v>
      </c>
      <c r="E73" s="1" t="s">
        <v>24</v>
      </c>
      <c r="F73" s="1" t="s">
        <v>443</v>
      </c>
      <c r="G73" s="1" t="s">
        <v>25</v>
      </c>
      <c r="H73" s="6">
        <v>35.73236</v>
      </c>
      <c r="I73" s="6">
        <v>-96.939279999999997</v>
      </c>
      <c r="J73" s="4">
        <v>892</v>
      </c>
      <c r="K73" s="5">
        <v>1153</v>
      </c>
      <c r="L73" s="5">
        <v>15613</v>
      </c>
      <c r="M73" s="4">
        <v>13</v>
      </c>
      <c r="N73" s="4">
        <f t="shared" si="1"/>
        <v>11.887199619609612</v>
      </c>
      <c r="O73" s="4">
        <v>39</v>
      </c>
      <c r="P73" s="1" t="s">
        <v>283</v>
      </c>
      <c r="Q73" s="1">
        <v>22</v>
      </c>
      <c r="R73" s="1">
        <v>760</v>
      </c>
      <c r="S73" s="1" t="s">
        <v>489</v>
      </c>
    </row>
    <row r="74" spans="1:19" s="1" customFormat="1" ht="16.5" customHeight="1" x14ac:dyDescent="0.25">
      <c r="A74" s="1" t="s">
        <v>369</v>
      </c>
      <c r="B74" s="2">
        <v>1937</v>
      </c>
      <c r="C74" s="1" t="s">
        <v>215</v>
      </c>
      <c r="D74" s="1" t="s">
        <v>35</v>
      </c>
      <c r="E74" s="1" t="s">
        <v>195</v>
      </c>
      <c r="F74" s="1" t="str">
        <f>VLOOKUP(E74,Sheet1!$A$1:$B$83,2)</f>
        <v>Central Great Plains</v>
      </c>
      <c r="G74" s="1" t="s">
        <v>216</v>
      </c>
      <c r="H74" s="6">
        <v>36.249989999999997</v>
      </c>
      <c r="I74" s="6">
        <v>-97.335980000000006</v>
      </c>
      <c r="J74" s="5">
        <v>1083</v>
      </c>
      <c r="K74" s="4">
        <v>557</v>
      </c>
      <c r="L74" s="5">
        <v>6358</v>
      </c>
      <c r="M74" s="4">
        <v>12.9</v>
      </c>
      <c r="N74" s="4">
        <f t="shared" si="1"/>
        <v>12.161519610831371</v>
      </c>
      <c r="O74" s="4">
        <v>39.9</v>
      </c>
      <c r="P74" s="1" t="s">
        <v>291</v>
      </c>
      <c r="Q74" s="1">
        <v>42</v>
      </c>
      <c r="R74" s="1">
        <v>1000</v>
      </c>
      <c r="S74" s="1" t="s">
        <v>489</v>
      </c>
    </row>
    <row r="75" spans="1:19" s="1" customFormat="1" ht="16.5" customHeight="1" x14ac:dyDescent="0.25">
      <c r="A75" s="1" t="s">
        <v>332</v>
      </c>
      <c r="B75" s="2">
        <v>1955</v>
      </c>
      <c r="C75" s="1" t="s">
        <v>262</v>
      </c>
      <c r="D75" s="1" t="s">
        <v>26</v>
      </c>
      <c r="E75" s="1" t="s">
        <v>27</v>
      </c>
      <c r="F75" s="1" t="str">
        <f>VLOOKUP(E75,Sheet1!$A$1:$B$83,2)</f>
        <v>Cross Timbers</v>
      </c>
      <c r="G75" s="1" t="s">
        <v>263</v>
      </c>
      <c r="H75" s="6">
        <v>36.556130000000003</v>
      </c>
      <c r="I75" s="6">
        <v>-96.116240000000005</v>
      </c>
      <c r="J75" s="4">
        <v>768</v>
      </c>
      <c r="K75" s="4">
        <v>128</v>
      </c>
      <c r="L75" s="5">
        <v>1832</v>
      </c>
      <c r="M75" s="4">
        <v>3.6</v>
      </c>
      <c r="N75" s="4">
        <f t="shared" si="1"/>
        <v>12.161519610831371</v>
      </c>
      <c r="O75" s="4">
        <v>39.9</v>
      </c>
      <c r="P75" s="1" t="s">
        <v>291</v>
      </c>
      <c r="Q75" s="1">
        <v>22</v>
      </c>
      <c r="R75" s="1">
        <v>760</v>
      </c>
      <c r="S75" s="1" t="s">
        <v>489</v>
      </c>
    </row>
    <row r="76" spans="1:19" s="1" customFormat="1" ht="16.5" customHeight="1" x14ac:dyDescent="0.25">
      <c r="A76" s="1" t="s">
        <v>389</v>
      </c>
      <c r="B76" s="2">
        <v>1968</v>
      </c>
      <c r="C76" s="1" t="s">
        <v>178</v>
      </c>
      <c r="D76" s="1" t="s">
        <v>13</v>
      </c>
      <c r="E76" s="1" t="s">
        <v>179</v>
      </c>
      <c r="F76" s="1" t="str">
        <f>VLOOKUP(E76,Sheet1!$A$1:$B$83,2)</f>
        <v>Cross Timbers</v>
      </c>
      <c r="G76" s="1" t="s">
        <v>180</v>
      </c>
      <c r="H76" s="6">
        <v>34.970750000000002</v>
      </c>
      <c r="I76" s="6">
        <v>-96.702520000000007</v>
      </c>
      <c r="J76" s="4">
        <v>924</v>
      </c>
      <c r="K76" s="5">
        <v>1350</v>
      </c>
      <c r="L76" s="5">
        <v>23000</v>
      </c>
      <c r="M76" s="4">
        <v>20.3</v>
      </c>
      <c r="N76" s="4">
        <f t="shared" si="1"/>
        <v>12.191999609856012</v>
      </c>
      <c r="O76" s="4">
        <v>40</v>
      </c>
      <c r="P76" s="1" t="s">
        <v>291</v>
      </c>
      <c r="Q76" s="1">
        <v>22</v>
      </c>
      <c r="R76" s="1">
        <v>760</v>
      </c>
      <c r="S76" s="1" t="s">
        <v>489</v>
      </c>
    </row>
    <row r="77" spans="1:19" s="1" customFormat="1" ht="16.5" customHeight="1" x14ac:dyDescent="0.25">
      <c r="A77" s="1" t="s">
        <v>395</v>
      </c>
      <c r="B77" s="2">
        <v>1958</v>
      </c>
      <c r="C77" s="1" t="s">
        <v>72</v>
      </c>
      <c r="D77" s="1" t="s">
        <v>9</v>
      </c>
      <c r="E77" s="1" t="s">
        <v>73</v>
      </c>
      <c r="F77" s="1" t="str">
        <f>VLOOKUP(E77,Sheet1!$A$1:$B$83,2)</f>
        <v>Cross Timbers</v>
      </c>
      <c r="G77" s="1" t="s">
        <v>169</v>
      </c>
      <c r="H77" s="6">
        <v>34.59639</v>
      </c>
      <c r="I77" s="6">
        <v>-97.891189999999995</v>
      </c>
      <c r="J77" s="5">
        <v>1178</v>
      </c>
      <c r="K77" s="4">
        <v>882</v>
      </c>
      <c r="L77" s="5">
        <v>14041</v>
      </c>
      <c r="M77" s="4">
        <v>16.100000000000001</v>
      </c>
      <c r="N77" s="4">
        <f t="shared" si="1"/>
        <v>12.313919605954572</v>
      </c>
      <c r="O77" s="4">
        <v>40.4</v>
      </c>
      <c r="P77" s="1" t="s">
        <v>291</v>
      </c>
      <c r="Q77" s="1">
        <v>22</v>
      </c>
      <c r="R77" s="1">
        <v>760</v>
      </c>
      <c r="S77" s="1" t="s">
        <v>489</v>
      </c>
    </row>
    <row r="78" spans="1:19" s="1" customFormat="1" ht="16.5" customHeight="1" x14ac:dyDescent="0.25">
      <c r="A78" s="1" t="s">
        <v>392</v>
      </c>
      <c r="B78" s="2">
        <v>1936</v>
      </c>
      <c r="C78" s="1" t="s">
        <v>173</v>
      </c>
      <c r="D78" s="1" t="s">
        <v>42</v>
      </c>
      <c r="E78" s="1" t="s">
        <v>174</v>
      </c>
      <c r="F78" s="1" t="s">
        <v>450</v>
      </c>
      <c r="G78" s="1" t="s">
        <v>175</v>
      </c>
      <c r="H78" s="6">
        <v>35.22954</v>
      </c>
      <c r="I78" s="6">
        <v>-95.097369999999998</v>
      </c>
      <c r="J78" s="4">
        <v>646</v>
      </c>
      <c r="K78" s="4">
        <v>226</v>
      </c>
      <c r="L78" s="5">
        <v>3234</v>
      </c>
      <c r="M78" s="4">
        <v>3.3</v>
      </c>
      <c r="N78" s="4">
        <f t="shared" si="1"/>
        <v>12.557759598151694</v>
      </c>
      <c r="O78" s="4">
        <v>41.2</v>
      </c>
      <c r="P78" s="1" t="s">
        <v>291</v>
      </c>
      <c r="Q78" s="1">
        <v>22</v>
      </c>
      <c r="R78" s="1">
        <v>640</v>
      </c>
      <c r="S78" s="1" t="s">
        <v>489</v>
      </c>
    </row>
    <row r="79" spans="1:19" s="1" customFormat="1" ht="16.5" customHeight="1" x14ac:dyDescent="0.25">
      <c r="A79" s="1" t="s">
        <v>383</v>
      </c>
      <c r="B79" s="2">
        <v>1984</v>
      </c>
      <c r="C79" s="1" t="s">
        <v>187</v>
      </c>
      <c r="D79" s="1" t="s">
        <v>35</v>
      </c>
      <c r="E79" s="1" t="s">
        <v>76</v>
      </c>
      <c r="F79" s="1" t="str">
        <f>VLOOKUP(E79,Sheet1!$A$1:$B$83,2)</f>
        <v>Central Great Plains</v>
      </c>
      <c r="G79" s="1" t="s">
        <v>188</v>
      </c>
      <c r="H79" s="6">
        <v>36.252980000000001</v>
      </c>
      <c r="I79" s="6">
        <v>-96.835170000000005</v>
      </c>
      <c r="J79" s="4">
        <v>939</v>
      </c>
      <c r="K79" s="4">
        <v>514</v>
      </c>
      <c r="L79" s="5">
        <v>5721</v>
      </c>
      <c r="M79" s="4">
        <v>18.2</v>
      </c>
      <c r="N79" s="4">
        <f t="shared" si="1"/>
        <v>12.862559588398094</v>
      </c>
      <c r="O79" s="4">
        <v>42.2</v>
      </c>
      <c r="P79" s="1" t="s">
        <v>291</v>
      </c>
      <c r="Q79" s="1">
        <v>42</v>
      </c>
      <c r="R79" s="1">
        <v>1000</v>
      </c>
      <c r="S79" s="1" t="s">
        <v>489</v>
      </c>
    </row>
    <row r="80" spans="1:19" s="1" customFormat="1" ht="16.5" customHeight="1" x14ac:dyDescent="0.25">
      <c r="A80" s="1" t="s">
        <v>378</v>
      </c>
      <c r="B80" s="2">
        <v>1956</v>
      </c>
      <c r="C80" s="1" t="s">
        <v>16</v>
      </c>
      <c r="D80" s="1" t="s">
        <v>9</v>
      </c>
      <c r="E80" s="1" t="s">
        <v>17</v>
      </c>
      <c r="F80" s="1" t="str">
        <f>VLOOKUP(E80,Sheet1!$A$1:$B$83,2)</f>
        <v>Cross Timbers</v>
      </c>
      <c r="G80" s="1" t="s">
        <v>199</v>
      </c>
      <c r="H80" s="6">
        <v>34.36589</v>
      </c>
      <c r="I80" s="6">
        <v>-97.284620000000004</v>
      </c>
      <c r="J80" s="5">
        <v>1045</v>
      </c>
      <c r="K80" s="4">
        <v>215</v>
      </c>
      <c r="L80" s="5">
        <v>3620</v>
      </c>
      <c r="M80" s="4">
        <v>5.0999999999999996</v>
      </c>
      <c r="N80" s="4">
        <f t="shared" si="1"/>
        <v>13.197839577669132</v>
      </c>
      <c r="O80" s="4">
        <v>43.3</v>
      </c>
      <c r="P80" s="1" t="s">
        <v>291</v>
      </c>
      <c r="Q80" s="1">
        <v>22</v>
      </c>
      <c r="R80" s="1">
        <v>760</v>
      </c>
      <c r="S80" s="1" t="s">
        <v>489</v>
      </c>
    </row>
    <row r="81" spans="1:19" s="1" customFormat="1" ht="16.5" customHeight="1" x14ac:dyDescent="0.25">
      <c r="A81" s="1" t="s">
        <v>313</v>
      </c>
      <c r="B81" s="2">
        <v>1964</v>
      </c>
      <c r="C81" s="1" t="s">
        <v>49</v>
      </c>
      <c r="D81" s="1" t="s">
        <v>38</v>
      </c>
      <c r="E81" s="1" t="s">
        <v>50</v>
      </c>
      <c r="F81" s="1" t="str">
        <f>VLOOKUP(E81,Sheet1!$A$1:$B$83,2)</f>
        <v>Ouachita Mountains</v>
      </c>
      <c r="G81" s="1" t="s">
        <v>11</v>
      </c>
      <c r="H81" s="6">
        <v>34.769370000000002</v>
      </c>
      <c r="I81" s="6">
        <v>-95.065219999999997</v>
      </c>
      <c r="J81" s="4">
        <v>760</v>
      </c>
      <c r="K81" s="4">
        <v>161</v>
      </c>
      <c r="L81" s="5">
        <v>2680</v>
      </c>
      <c r="M81" s="4">
        <v>4.0999999999999996</v>
      </c>
      <c r="N81" s="4">
        <f t="shared" si="1"/>
        <v>13.197839577669132</v>
      </c>
      <c r="O81" s="4">
        <v>43.3</v>
      </c>
      <c r="P81" s="1" t="s">
        <v>286</v>
      </c>
      <c r="Q81" s="1">
        <v>18</v>
      </c>
      <c r="R81" s="1">
        <v>600</v>
      </c>
      <c r="S81" s="1" t="s">
        <v>489</v>
      </c>
    </row>
    <row r="82" spans="1:19" s="1" customFormat="1" ht="16.5" customHeight="1" x14ac:dyDescent="0.25">
      <c r="A82" s="1" t="s">
        <v>355</v>
      </c>
      <c r="B82" s="2">
        <v>1935</v>
      </c>
      <c r="C82" s="1" t="s">
        <v>232</v>
      </c>
      <c r="D82" s="1" t="s">
        <v>13</v>
      </c>
      <c r="E82" s="1" t="s">
        <v>233</v>
      </c>
      <c r="F82" s="1" t="s">
        <v>443</v>
      </c>
      <c r="G82" s="1" t="s">
        <v>234</v>
      </c>
      <c r="H82" s="6">
        <v>35.34639</v>
      </c>
      <c r="I82" s="6">
        <v>-97.060479999999998</v>
      </c>
      <c r="J82" s="5">
        <v>1067</v>
      </c>
      <c r="K82" s="5">
        <v>1275</v>
      </c>
      <c r="L82" s="5">
        <v>22600</v>
      </c>
      <c r="M82" s="4">
        <v>16</v>
      </c>
      <c r="N82" s="4">
        <f t="shared" si="1"/>
        <v>13.258799575718413</v>
      </c>
      <c r="O82" s="4">
        <v>43.5</v>
      </c>
      <c r="P82" s="1" t="s">
        <v>291</v>
      </c>
      <c r="Q82" s="1">
        <v>22</v>
      </c>
      <c r="R82" s="1">
        <v>760</v>
      </c>
      <c r="S82" s="1" t="s">
        <v>489</v>
      </c>
    </row>
    <row r="83" spans="1:19" s="1" customFormat="1" ht="16.5" customHeight="1" x14ac:dyDescent="0.25">
      <c r="A83" s="1" t="s">
        <v>380</v>
      </c>
      <c r="B83" s="2">
        <v>1971</v>
      </c>
      <c r="C83" s="1" t="s">
        <v>34</v>
      </c>
      <c r="D83" s="1" t="s">
        <v>35</v>
      </c>
      <c r="E83" s="1" t="s">
        <v>195</v>
      </c>
      <c r="F83" s="1" t="str">
        <f>VLOOKUP(E83,Sheet1!$A$1:$B$83,2)</f>
        <v>Central Great Plains</v>
      </c>
      <c r="G83" s="1" t="s">
        <v>196</v>
      </c>
      <c r="H83" s="6">
        <v>36.171169999999996</v>
      </c>
      <c r="I83" s="6">
        <v>-97.188810000000004</v>
      </c>
      <c r="J83" s="4">
        <v>950</v>
      </c>
      <c r="K83" s="5">
        <v>1155</v>
      </c>
      <c r="L83" s="5">
        <v>19733</v>
      </c>
      <c r="M83" s="4">
        <v>23.6</v>
      </c>
      <c r="N83" s="4">
        <f t="shared" si="1"/>
        <v>13.289279574743054</v>
      </c>
      <c r="O83" s="4">
        <v>43.6</v>
      </c>
      <c r="P83" s="1" t="s">
        <v>291</v>
      </c>
      <c r="Q83" s="1">
        <v>42</v>
      </c>
      <c r="R83" s="1">
        <v>1000</v>
      </c>
      <c r="S83" s="1" t="s">
        <v>489</v>
      </c>
    </row>
    <row r="84" spans="1:19" s="1" customFormat="1" ht="16.5" customHeight="1" x14ac:dyDescent="0.25">
      <c r="A84" s="1" t="s">
        <v>370</v>
      </c>
      <c r="B84" s="2">
        <v>1936</v>
      </c>
      <c r="C84" s="1" t="s">
        <v>32</v>
      </c>
      <c r="D84" s="1" t="s">
        <v>26</v>
      </c>
      <c r="E84" s="1" t="s">
        <v>27</v>
      </c>
      <c r="F84" s="1" t="str">
        <f>VLOOKUP(E84,Sheet1!$A$1:$B$83,2)</f>
        <v>Cross Timbers</v>
      </c>
      <c r="G84" s="1" t="s">
        <v>212</v>
      </c>
      <c r="H84" s="6">
        <v>36.644399999999997</v>
      </c>
      <c r="I84" s="6">
        <v>-96.396870000000007</v>
      </c>
      <c r="J84" s="4">
        <v>889</v>
      </c>
      <c r="K84" s="4">
        <v>103</v>
      </c>
      <c r="L84" s="5">
        <v>1806</v>
      </c>
      <c r="M84" s="4">
        <v>3</v>
      </c>
      <c r="N84" s="4">
        <f t="shared" si="1"/>
        <v>13.472159568890895</v>
      </c>
      <c r="O84" s="4">
        <v>44.2</v>
      </c>
      <c r="P84" s="1" t="s">
        <v>291</v>
      </c>
      <c r="Q84" s="1">
        <v>22</v>
      </c>
      <c r="R84" s="1">
        <v>760</v>
      </c>
      <c r="S84" s="1" t="s">
        <v>489</v>
      </c>
    </row>
    <row r="85" spans="1:19" s="1" customFormat="1" ht="16.5" customHeight="1" x14ac:dyDescent="0.25">
      <c r="A85" s="1" t="s">
        <v>393</v>
      </c>
      <c r="B85" s="2">
        <v>1969</v>
      </c>
      <c r="C85" s="1" t="s">
        <v>16</v>
      </c>
      <c r="D85" s="1" t="s">
        <v>9</v>
      </c>
      <c r="E85" s="1" t="s">
        <v>17</v>
      </c>
      <c r="F85" s="1" t="str">
        <f>VLOOKUP(E85,Sheet1!$A$1:$B$83,2)</f>
        <v>Cross Timbers</v>
      </c>
      <c r="G85" s="1" t="s">
        <v>172</v>
      </c>
      <c r="H85" s="6">
        <v>34.28575</v>
      </c>
      <c r="I85" s="6">
        <v>-97.172619999999995</v>
      </c>
      <c r="J85" s="4">
        <v>809</v>
      </c>
      <c r="K85" s="4">
        <v>459</v>
      </c>
      <c r="L85" s="5">
        <v>6399</v>
      </c>
      <c r="M85" s="4">
        <v>11.6</v>
      </c>
      <c r="N85" s="4">
        <f t="shared" si="1"/>
        <v>13.563599565964815</v>
      </c>
      <c r="O85" s="4">
        <v>44.5</v>
      </c>
      <c r="P85" s="1" t="s">
        <v>291</v>
      </c>
      <c r="Q85" s="1">
        <v>22</v>
      </c>
      <c r="R85" s="1">
        <v>760</v>
      </c>
      <c r="S85" s="1" t="s">
        <v>489</v>
      </c>
    </row>
    <row r="86" spans="1:19" s="1" customFormat="1" ht="16.5" customHeight="1" x14ac:dyDescent="0.25">
      <c r="A86" s="1" t="s">
        <v>431</v>
      </c>
      <c r="B86" s="2">
        <v>1939</v>
      </c>
      <c r="C86" s="1" t="s">
        <v>41</v>
      </c>
      <c r="D86" s="1" t="s">
        <v>42</v>
      </c>
      <c r="E86" s="1" t="s">
        <v>146</v>
      </c>
      <c r="F86" s="1" t="s">
        <v>446</v>
      </c>
      <c r="G86" s="1" t="s">
        <v>147</v>
      </c>
      <c r="H86" s="6">
        <v>35.62424</v>
      </c>
      <c r="I86" s="6">
        <v>-95.170919999999995</v>
      </c>
      <c r="J86" s="4">
        <v>510</v>
      </c>
      <c r="K86" s="4">
        <v>718</v>
      </c>
      <c r="L86" s="5">
        <v>10384</v>
      </c>
      <c r="M86" s="4">
        <v>19.29</v>
      </c>
      <c r="N86" s="4">
        <f t="shared" si="1"/>
        <v>13.594079564989455</v>
      </c>
      <c r="O86" s="4">
        <v>44.6</v>
      </c>
      <c r="P86" s="1" t="s">
        <v>291</v>
      </c>
      <c r="Q86" s="1">
        <v>17</v>
      </c>
      <c r="R86" s="1">
        <v>690</v>
      </c>
      <c r="S86" s="1" t="s">
        <v>489</v>
      </c>
    </row>
    <row r="87" spans="1:19" s="1" customFormat="1" ht="16.5" customHeight="1" x14ac:dyDescent="0.25">
      <c r="A87" s="1" t="s">
        <v>331</v>
      </c>
      <c r="B87" s="2">
        <v>1969</v>
      </c>
      <c r="C87" s="1" t="s">
        <v>55</v>
      </c>
      <c r="D87" s="1" t="s">
        <v>42</v>
      </c>
      <c r="E87" s="1" t="s">
        <v>50</v>
      </c>
      <c r="F87" s="1" t="str">
        <f>VLOOKUP(E87,Sheet1!$A$1:$B$83,2)</f>
        <v>Ouachita Mountains</v>
      </c>
      <c r="G87" s="1" t="s">
        <v>56</v>
      </c>
      <c r="H87" s="6">
        <v>34.985849999999999</v>
      </c>
      <c r="I87" s="6">
        <v>-95.357110000000006</v>
      </c>
      <c r="J87" s="4">
        <v>797</v>
      </c>
      <c r="K87" s="4">
        <v>94</v>
      </c>
      <c r="L87" s="5">
        <v>1516</v>
      </c>
      <c r="M87" s="4">
        <v>3.1</v>
      </c>
      <c r="N87" s="4">
        <f t="shared" si="1"/>
        <v>13.776959559137294</v>
      </c>
      <c r="O87" s="4">
        <v>45.2</v>
      </c>
      <c r="P87" s="1" t="s">
        <v>291</v>
      </c>
      <c r="Q87" s="1">
        <v>18</v>
      </c>
      <c r="R87" s="1">
        <v>600</v>
      </c>
      <c r="S87" s="1" t="s">
        <v>489</v>
      </c>
    </row>
    <row r="88" spans="1:19" s="1" customFormat="1" ht="16.5" customHeight="1" x14ac:dyDescent="0.25">
      <c r="A88" s="1" t="s">
        <v>350</v>
      </c>
      <c r="B88" s="2">
        <v>1924</v>
      </c>
      <c r="C88" s="1" t="s">
        <v>122</v>
      </c>
      <c r="D88" s="1" t="s">
        <v>123</v>
      </c>
      <c r="E88" s="1" t="s">
        <v>143</v>
      </c>
      <c r="F88" s="1" t="s">
        <v>466</v>
      </c>
      <c r="G88" s="1" t="s">
        <v>125</v>
      </c>
      <c r="H88" s="6">
        <v>36.389760000000003</v>
      </c>
      <c r="I88" s="6">
        <v>-95.042010000000005</v>
      </c>
      <c r="J88" s="4">
        <v>680</v>
      </c>
      <c r="K88" s="5">
        <v>1548</v>
      </c>
      <c r="L88" s="5">
        <v>26250</v>
      </c>
      <c r="M88" s="4">
        <v>23.3</v>
      </c>
      <c r="N88" s="4">
        <f t="shared" si="1"/>
        <v>13.929359554260495</v>
      </c>
      <c r="O88" s="4">
        <v>45.7</v>
      </c>
      <c r="P88" s="1" t="s">
        <v>291</v>
      </c>
      <c r="Q88" s="1">
        <v>25</v>
      </c>
      <c r="R88" s="1">
        <v>780</v>
      </c>
      <c r="S88" s="1" t="s">
        <v>489</v>
      </c>
    </row>
    <row r="89" spans="1:19" s="1" customFormat="1" ht="16.5" customHeight="1" x14ac:dyDescent="0.25">
      <c r="A89" s="1" t="s">
        <v>314</v>
      </c>
      <c r="B89" s="2">
        <v>1937</v>
      </c>
      <c r="C89" s="1" t="s">
        <v>51</v>
      </c>
      <c r="D89" s="1" t="s">
        <v>35</v>
      </c>
      <c r="E89" s="1" t="s">
        <v>36</v>
      </c>
      <c r="F89" s="1" t="str">
        <f>VLOOKUP(E89,Sheet1!$A$1:$B$83,2)</f>
        <v>Central Great Plains</v>
      </c>
      <c r="G89" s="1" t="s">
        <v>52</v>
      </c>
      <c r="H89" s="6">
        <v>36.13035</v>
      </c>
      <c r="I89" s="6">
        <v>-97.207970000000003</v>
      </c>
      <c r="J89" s="4">
        <v>944</v>
      </c>
      <c r="K89" s="5">
        <v>3370</v>
      </c>
      <c r="L89" s="5">
        <v>61500</v>
      </c>
      <c r="M89" s="4">
        <v>59.2</v>
      </c>
      <c r="N89" s="4">
        <f t="shared" si="1"/>
        <v>13.990319552309774</v>
      </c>
      <c r="O89" s="4">
        <v>45.9</v>
      </c>
      <c r="P89" s="1" t="s">
        <v>286</v>
      </c>
      <c r="Q89" s="1">
        <v>42</v>
      </c>
      <c r="R89" s="1">
        <v>1000</v>
      </c>
      <c r="S89" s="1" t="s">
        <v>489</v>
      </c>
    </row>
    <row r="90" spans="1:19" s="1" customFormat="1" ht="16.5" customHeight="1" x14ac:dyDescent="0.25">
      <c r="A90" s="1" t="s">
        <v>401</v>
      </c>
      <c r="B90" s="2">
        <v>1931</v>
      </c>
      <c r="C90" s="1" t="s">
        <v>160</v>
      </c>
      <c r="D90" s="1" t="s">
        <v>13</v>
      </c>
      <c r="E90" s="1" t="s">
        <v>161</v>
      </c>
      <c r="F90" s="1" t="str">
        <f>VLOOKUP(E90,Sheet1!$A$1:$B$83,2)</f>
        <v>Cross Timbers</v>
      </c>
      <c r="G90" s="1" t="s">
        <v>7</v>
      </c>
      <c r="H90" s="6">
        <v>35.03172</v>
      </c>
      <c r="I90" s="6">
        <v>-96.370739999999998</v>
      </c>
      <c r="J90" s="4">
        <v>789</v>
      </c>
      <c r="K90" s="4">
        <v>550</v>
      </c>
      <c r="L90" s="5">
        <v>11000</v>
      </c>
      <c r="M90" s="4">
        <v>11.3</v>
      </c>
      <c r="N90" s="4">
        <f t="shared" si="1"/>
        <v>13.990319552309774</v>
      </c>
      <c r="O90" s="4">
        <v>45.9</v>
      </c>
      <c r="P90" s="1" t="s">
        <v>291</v>
      </c>
      <c r="Q90" s="1">
        <v>22</v>
      </c>
      <c r="R90" s="1">
        <v>760</v>
      </c>
      <c r="S90" s="1" t="s">
        <v>489</v>
      </c>
    </row>
    <row r="91" spans="1:19" s="1" customFormat="1" ht="16.5" customHeight="1" x14ac:dyDescent="0.25">
      <c r="A91" s="1" t="s">
        <v>375</v>
      </c>
      <c r="B91" s="2">
        <v>1963</v>
      </c>
      <c r="C91" s="1" t="s">
        <v>205</v>
      </c>
      <c r="D91" s="1" t="s">
        <v>13</v>
      </c>
      <c r="E91" s="1" t="s">
        <v>206</v>
      </c>
      <c r="F91" s="1" t="str">
        <f>VLOOKUP(E91,Sheet1!$A$1:$B$83,2)</f>
        <v>Cross Timbers</v>
      </c>
      <c r="G91" s="1" t="s">
        <v>207</v>
      </c>
      <c r="H91" s="6">
        <v>35.522210000000001</v>
      </c>
      <c r="I91" s="6">
        <v>-96.318730000000002</v>
      </c>
      <c r="J91" s="4">
        <v>781</v>
      </c>
      <c r="K91" s="4">
        <v>679</v>
      </c>
      <c r="L91" s="5">
        <v>10391</v>
      </c>
      <c r="M91" s="4">
        <v>18.8</v>
      </c>
      <c r="N91" s="4">
        <f t="shared" si="1"/>
        <v>14.112239548408334</v>
      </c>
      <c r="O91" s="4">
        <v>46.3</v>
      </c>
      <c r="P91" s="1" t="s">
        <v>291</v>
      </c>
      <c r="Q91" s="1">
        <v>22</v>
      </c>
      <c r="R91" s="1">
        <v>760</v>
      </c>
      <c r="S91" s="1" t="s">
        <v>489</v>
      </c>
    </row>
    <row r="92" spans="1:19" s="1" customFormat="1" ht="16.5" customHeight="1" x14ac:dyDescent="0.25">
      <c r="A92" s="1" t="s">
        <v>346</v>
      </c>
      <c r="B92" s="2">
        <v>1968</v>
      </c>
      <c r="C92" s="1" t="s">
        <v>245</v>
      </c>
      <c r="D92" s="1" t="s">
        <v>13</v>
      </c>
      <c r="E92" s="1" t="s">
        <v>156</v>
      </c>
      <c r="F92" s="1" t="str">
        <f>VLOOKUP(E92,Sheet1!$A$1:$B$83,2)</f>
        <v>Cross Timbers</v>
      </c>
      <c r="G92" s="1" t="s">
        <v>188</v>
      </c>
      <c r="H92" s="6">
        <v>35.801789999999997</v>
      </c>
      <c r="I92" s="6">
        <v>-96.60566</v>
      </c>
      <c r="J92" s="4">
        <v>855</v>
      </c>
      <c r="K92" s="4">
        <v>600</v>
      </c>
      <c r="L92" s="5">
        <v>8800</v>
      </c>
      <c r="M92" s="4">
        <v>14.2</v>
      </c>
      <c r="N92" s="4">
        <f t="shared" si="1"/>
        <v>14.295119542556174</v>
      </c>
      <c r="O92" s="4">
        <v>46.9</v>
      </c>
      <c r="P92" s="1" t="s">
        <v>291</v>
      </c>
      <c r="Q92" s="1">
        <v>22</v>
      </c>
      <c r="R92" s="1">
        <v>760</v>
      </c>
      <c r="S92" s="1" t="s">
        <v>489</v>
      </c>
    </row>
    <row r="93" spans="1:19" s="1" customFormat="1" ht="16.5" customHeight="1" x14ac:dyDescent="0.25">
      <c r="A93" s="1" t="s">
        <v>344</v>
      </c>
      <c r="B93" s="2">
        <v>1924</v>
      </c>
      <c r="C93" s="1" t="s">
        <v>191</v>
      </c>
      <c r="D93" s="1" t="s">
        <v>102</v>
      </c>
      <c r="E93" s="1" t="s">
        <v>192</v>
      </c>
      <c r="F93" s="1" t="s">
        <v>450</v>
      </c>
      <c r="G93" s="1" t="s">
        <v>246</v>
      </c>
      <c r="H93" s="6">
        <v>34.978450000000002</v>
      </c>
      <c r="I93" s="6">
        <v>-95.794430000000006</v>
      </c>
      <c r="J93" s="4">
        <v>627</v>
      </c>
      <c r="K93" s="4">
        <v>195</v>
      </c>
      <c r="L93" s="5">
        <v>2750</v>
      </c>
      <c r="M93" s="4">
        <v>5.0999999999999996</v>
      </c>
      <c r="N93" s="4">
        <f t="shared" si="1"/>
        <v>14.386559539630095</v>
      </c>
      <c r="O93" s="4">
        <v>47.2</v>
      </c>
      <c r="P93" s="1" t="s">
        <v>291</v>
      </c>
      <c r="Q93" s="1">
        <v>22</v>
      </c>
      <c r="R93" s="1">
        <v>640</v>
      </c>
      <c r="S93" s="1" t="s">
        <v>489</v>
      </c>
    </row>
    <row r="94" spans="1:19" s="1" customFormat="1" ht="16.5" customHeight="1" x14ac:dyDescent="0.25">
      <c r="A94" s="1" t="s">
        <v>353</v>
      </c>
      <c r="B94" s="2">
        <v>1922</v>
      </c>
      <c r="C94" s="1" t="s">
        <v>235</v>
      </c>
      <c r="D94" s="1" t="s">
        <v>26</v>
      </c>
      <c r="E94" s="1" t="s">
        <v>27</v>
      </c>
      <c r="F94" s="1" t="str">
        <f>VLOOKUP(E94,Sheet1!$A$1:$B$83,2)</f>
        <v>Cross Timbers</v>
      </c>
      <c r="G94" s="1" t="s">
        <v>236</v>
      </c>
      <c r="H94" s="6">
        <v>36.180819999999997</v>
      </c>
      <c r="I94" s="6">
        <v>-96.179190000000006</v>
      </c>
      <c r="J94" s="4">
        <v>725</v>
      </c>
      <c r="K94" s="4">
        <v>560</v>
      </c>
      <c r="L94" s="5">
        <v>8234</v>
      </c>
      <c r="M94" s="4">
        <v>13.6</v>
      </c>
      <c r="N94" s="4">
        <f t="shared" si="1"/>
        <v>14.417039538654734</v>
      </c>
      <c r="O94" s="4">
        <v>47.3</v>
      </c>
      <c r="P94" s="1" t="s">
        <v>291</v>
      </c>
      <c r="Q94" s="1">
        <v>22</v>
      </c>
      <c r="R94" s="1">
        <v>760</v>
      </c>
      <c r="S94" s="1" t="s">
        <v>489</v>
      </c>
    </row>
    <row r="95" spans="1:19" s="1" customFormat="1" ht="16.5" customHeight="1" x14ac:dyDescent="0.25">
      <c r="A95" s="1" t="s">
        <v>347</v>
      </c>
      <c r="B95" s="2">
        <v>1965</v>
      </c>
      <c r="C95" s="1" t="s">
        <v>242</v>
      </c>
      <c r="D95" s="1" t="s">
        <v>42</v>
      </c>
      <c r="E95" s="1" t="s">
        <v>243</v>
      </c>
      <c r="F95" s="1" t="s">
        <v>484</v>
      </c>
      <c r="G95" s="1" t="s">
        <v>244</v>
      </c>
      <c r="H95" s="6">
        <v>35.76</v>
      </c>
      <c r="I95" s="6">
        <v>-94.710710000000006</v>
      </c>
      <c r="J95" s="4">
        <v>947</v>
      </c>
      <c r="K95" s="4">
        <v>188</v>
      </c>
      <c r="L95" s="5">
        <v>3218</v>
      </c>
      <c r="M95" s="4">
        <v>4.0999999999999996</v>
      </c>
      <c r="N95" s="4">
        <f t="shared" si="1"/>
        <v>14.508479535728656</v>
      </c>
      <c r="O95" s="4">
        <v>47.6</v>
      </c>
      <c r="P95" s="1" t="s">
        <v>291</v>
      </c>
      <c r="Q95" s="1">
        <v>19</v>
      </c>
      <c r="R95" s="1">
        <v>660</v>
      </c>
      <c r="S95" s="1" t="s">
        <v>489</v>
      </c>
    </row>
    <row r="96" spans="1:19" s="1" customFormat="1" ht="16.5" customHeight="1" x14ac:dyDescent="0.25">
      <c r="A96" s="1" t="s">
        <v>303</v>
      </c>
      <c r="B96" s="2">
        <v>1986</v>
      </c>
      <c r="C96" s="1" t="s">
        <v>12</v>
      </c>
      <c r="D96" s="1" t="s">
        <v>13</v>
      </c>
      <c r="E96" s="1" t="s">
        <v>14</v>
      </c>
      <c r="F96" s="1" t="str">
        <f>VLOOKUP(E96,Sheet1!$A$1:$B$83,2)</f>
        <v>Central Great Plains</v>
      </c>
      <c r="G96" s="1" t="s">
        <v>15</v>
      </c>
      <c r="H96" s="6">
        <v>35.648969999999998</v>
      </c>
      <c r="I96" s="6">
        <v>-97.377309999999994</v>
      </c>
      <c r="J96" s="5">
        <v>1006</v>
      </c>
      <c r="K96" s="5">
        <v>1676</v>
      </c>
      <c r="L96" s="5">
        <v>29544</v>
      </c>
      <c r="M96" s="4">
        <v>25.6</v>
      </c>
      <c r="N96" s="4">
        <f t="shared" si="1"/>
        <v>14.569439533777935</v>
      </c>
      <c r="O96" s="4">
        <v>47.8</v>
      </c>
      <c r="P96" s="1" t="s">
        <v>286</v>
      </c>
      <c r="Q96" s="1">
        <v>42</v>
      </c>
      <c r="R96" s="1">
        <v>1000</v>
      </c>
      <c r="S96" s="1" t="s">
        <v>489</v>
      </c>
    </row>
    <row r="97" spans="1:19" s="1" customFormat="1" ht="16.5" customHeight="1" x14ac:dyDescent="0.25">
      <c r="A97" s="1" t="s">
        <v>388</v>
      </c>
      <c r="B97" s="2">
        <v>1966</v>
      </c>
      <c r="C97" s="1" t="s">
        <v>181</v>
      </c>
      <c r="D97" s="1" t="s">
        <v>35</v>
      </c>
      <c r="E97" s="1" t="s">
        <v>149</v>
      </c>
      <c r="F97" s="1" t="str">
        <f>VLOOKUP(E97,Sheet1!$A$1:$B$83,2)</f>
        <v>Central Great Plains</v>
      </c>
      <c r="G97" s="1" t="s">
        <v>182</v>
      </c>
      <c r="H97" s="6">
        <v>35.924430000000001</v>
      </c>
      <c r="I97" s="6">
        <v>-97.272310000000004</v>
      </c>
      <c r="J97" s="4">
        <v>968</v>
      </c>
      <c r="K97" s="4">
        <v>282</v>
      </c>
      <c r="L97" s="5">
        <v>5460</v>
      </c>
      <c r="M97" s="4">
        <v>9</v>
      </c>
      <c r="N97" s="4">
        <f t="shared" si="1"/>
        <v>14.599919532802575</v>
      </c>
      <c r="O97" s="4">
        <v>47.9</v>
      </c>
      <c r="P97" s="1" t="s">
        <v>291</v>
      </c>
      <c r="Q97" s="1">
        <v>42</v>
      </c>
      <c r="R97" s="1">
        <v>1000</v>
      </c>
      <c r="S97" s="1" t="s">
        <v>489</v>
      </c>
    </row>
    <row r="98" spans="1:19" s="1" customFormat="1" ht="16.5" customHeight="1" x14ac:dyDescent="0.25">
      <c r="A98" s="1" t="s">
        <v>385</v>
      </c>
      <c r="B98" s="2">
        <v>1964</v>
      </c>
      <c r="C98" s="1" t="s">
        <v>184</v>
      </c>
      <c r="D98" s="1" t="s">
        <v>42</v>
      </c>
      <c r="E98" s="1" t="s">
        <v>50</v>
      </c>
      <c r="F98" s="1" t="str">
        <f>VLOOKUP(E98,Sheet1!$A$1:$B$83,2)</f>
        <v>Ouachita Mountains</v>
      </c>
      <c r="G98" s="1" t="s">
        <v>185</v>
      </c>
      <c r="H98" s="6">
        <v>34.87914</v>
      </c>
      <c r="I98" s="6">
        <v>-95.334710000000001</v>
      </c>
      <c r="J98" s="4">
        <v>755</v>
      </c>
      <c r="K98" s="4">
        <v>154</v>
      </c>
      <c r="L98" s="5">
        <v>3025</v>
      </c>
      <c r="M98" s="4">
        <v>3.8</v>
      </c>
      <c r="N98" s="4">
        <f t="shared" si="1"/>
        <v>14.599919532802575</v>
      </c>
      <c r="O98" s="4">
        <v>47.9</v>
      </c>
      <c r="P98" s="1" t="s">
        <v>291</v>
      </c>
      <c r="Q98" s="1">
        <v>18</v>
      </c>
      <c r="R98" s="1">
        <v>600</v>
      </c>
      <c r="S98" s="1" t="s">
        <v>489</v>
      </c>
    </row>
    <row r="99" spans="1:19" s="1" customFormat="1" ht="16.5" customHeight="1" x14ac:dyDescent="0.25">
      <c r="A99" s="1" t="s">
        <v>384</v>
      </c>
      <c r="B99" s="2">
        <v>1961</v>
      </c>
      <c r="C99" s="1" t="s">
        <v>4</v>
      </c>
      <c r="D99" s="1" t="s">
        <v>5</v>
      </c>
      <c r="E99" s="1" t="s">
        <v>186</v>
      </c>
      <c r="F99" s="1" t="str">
        <f>VLOOKUP(E99,Sheet1!$A$1:$B$83,2)</f>
        <v>Southwestern Tablelands</v>
      </c>
      <c r="G99" s="1" t="s">
        <v>83</v>
      </c>
      <c r="H99" s="6">
        <v>36.05847</v>
      </c>
      <c r="I99" s="6">
        <v>-99.917310000000001</v>
      </c>
      <c r="J99" s="5">
        <v>2232</v>
      </c>
      <c r="K99" s="4">
        <v>142</v>
      </c>
      <c r="L99" s="5">
        <v>2579</v>
      </c>
      <c r="M99" s="4">
        <v>3.8</v>
      </c>
      <c r="N99" s="4">
        <f t="shared" si="1"/>
        <v>14.630399531827216</v>
      </c>
      <c r="O99" s="4">
        <v>48</v>
      </c>
      <c r="P99" s="1" t="s">
        <v>291</v>
      </c>
      <c r="Q99" s="1">
        <v>24</v>
      </c>
      <c r="R99" s="1">
        <v>770</v>
      </c>
      <c r="S99" s="1" t="s">
        <v>489</v>
      </c>
    </row>
    <row r="100" spans="1:19" s="1" customFormat="1" ht="16.5" customHeight="1" x14ac:dyDescent="0.25">
      <c r="A100" s="1" t="s">
        <v>382</v>
      </c>
      <c r="B100" s="2">
        <v>1947</v>
      </c>
      <c r="C100" s="1" t="s">
        <v>8</v>
      </c>
      <c r="D100" s="1" t="s">
        <v>1</v>
      </c>
      <c r="E100" s="1" t="s">
        <v>189</v>
      </c>
      <c r="F100" s="1" t="s">
        <v>439</v>
      </c>
      <c r="G100" s="1" t="s">
        <v>190</v>
      </c>
      <c r="H100" s="6">
        <v>34.889620000000001</v>
      </c>
      <c r="I100" s="6">
        <v>-99.298789999999997</v>
      </c>
      <c r="J100" s="5">
        <v>1559</v>
      </c>
      <c r="K100" s="5">
        <v>5089</v>
      </c>
      <c r="L100" s="5">
        <v>122516</v>
      </c>
      <c r="M100" s="4">
        <v>32</v>
      </c>
      <c r="N100" s="4">
        <f t="shared" si="1"/>
        <v>14.782799526950415</v>
      </c>
      <c r="O100" s="4">
        <v>48.5</v>
      </c>
      <c r="P100" s="1" t="s">
        <v>291</v>
      </c>
      <c r="Q100" s="1">
        <v>42</v>
      </c>
      <c r="R100" s="1">
        <v>1000</v>
      </c>
      <c r="S100" s="1" t="s">
        <v>489</v>
      </c>
    </row>
    <row r="101" spans="1:19" s="1" customFormat="1" ht="16.5" customHeight="1" x14ac:dyDescent="0.25">
      <c r="A101" s="1" t="s">
        <v>424</v>
      </c>
      <c r="B101" s="2">
        <v>1959</v>
      </c>
      <c r="C101" s="1" t="s">
        <v>8</v>
      </c>
      <c r="D101" s="1" t="s">
        <v>5</v>
      </c>
      <c r="E101" s="1" t="s">
        <v>65</v>
      </c>
      <c r="F101" s="1" t="str">
        <f>VLOOKUP(E101,Sheet1!$A$1:$B$83,2)</f>
        <v>Central Great Plains</v>
      </c>
      <c r="G101" s="1" t="s">
        <v>89</v>
      </c>
      <c r="H101" s="6">
        <v>35.173859999999998</v>
      </c>
      <c r="I101" s="6">
        <v>-98.440269999999998</v>
      </c>
      <c r="J101" s="5">
        <v>1342</v>
      </c>
      <c r="K101" s="5">
        <v>4100</v>
      </c>
      <c r="L101" s="5">
        <v>80010</v>
      </c>
      <c r="M101" s="4">
        <v>35.4</v>
      </c>
      <c r="N101" s="4">
        <f t="shared" si="1"/>
        <v>15.209519513295374</v>
      </c>
      <c r="O101" s="4">
        <v>49.9</v>
      </c>
      <c r="P101" s="1" t="s">
        <v>291</v>
      </c>
      <c r="Q101" s="1">
        <v>42</v>
      </c>
      <c r="R101" s="1">
        <v>1000</v>
      </c>
      <c r="S101" s="1" t="s">
        <v>489</v>
      </c>
    </row>
    <row r="102" spans="1:19" s="1" customFormat="1" ht="16.5" customHeight="1" x14ac:dyDescent="0.25">
      <c r="A102" s="1" t="s">
        <v>366</v>
      </c>
      <c r="B102" s="2">
        <v>1935</v>
      </c>
      <c r="C102" s="1" t="s">
        <v>219</v>
      </c>
      <c r="D102" s="1" t="s">
        <v>35</v>
      </c>
      <c r="E102" s="1" t="s">
        <v>220</v>
      </c>
      <c r="F102" s="1" t="str">
        <f>VLOOKUP(E102,Sheet1!$A$1:$B$83,2)</f>
        <v>Central Great Plains</v>
      </c>
      <c r="G102" s="1" t="s">
        <v>80</v>
      </c>
      <c r="H102" s="6">
        <v>36.726979999999998</v>
      </c>
      <c r="I102" s="6">
        <v>-97.023489999999995</v>
      </c>
      <c r="J102" s="4">
        <v>987</v>
      </c>
      <c r="K102" s="4">
        <v>778</v>
      </c>
      <c r="L102" s="5">
        <v>13577</v>
      </c>
      <c r="M102" s="4">
        <v>17.2</v>
      </c>
      <c r="N102" s="4">
        <f t="shared" si="1"/>
        <v>15.270479511344655</v>
      </c>
      <c r="O102" s="4">
        <v>50.1</v>
      </c>
      <c r="P102" s="1" t="s">
        <v>290</v>
      </c>
      <c r="Q102" s="1">
        <v>42</v>
      </c>
      <c r="R102" s="1">
        <v>1000</v>
      </c>
      <c r="S102" s="1" t="s">
        <v>489</v>
      </c>
    </row>
    <row r="103" spans="1:19" s="1" customFormat="1" ht="16.5" customHeight="1" x14ac:dyDescent="0.25">
      <c r="A103" s="1" t="s">
        <v>397</v>
      </c>
      <c r="B103" s="2">
        <v>1974</v>
      </c>
      <c r="C103" s="1" t="s">
        <v>12</v>
      </c>
      <c r="D103" s="1" t="s">
        <v>38</v>
      </c>
      <c r="E103" s="1" t="s">
        <v>166</v>
      </c>
      <c r="F103" s="1" t="s">
        <v>463</v>
      </c>
      <c r="G103" s="1" t="s">
        <v>167</v>
      </c>
      <c r="H103" s="6">
        <v>34.021799999999999</v>
      </c>
      <c r="I103" s="6">
        <v>-95.415040000000005</v>
      </c>
      <c r="J103" s="4">
        <v>404</v>
      </c>
      <c r="K103" s="5">
        <v>11592</v>
      </c>
      <c r="L103" s="5">
        <v>126741</v>
      </c>
      <c r="M103" s="4">
        <v>98.6</v>
      </c>
      <c r="N103" s="4">
        <f t="shared" si="1"/>
        <v>15.697199497689617</v>
      </c>
      <c r="O103" s="4">
        <v>51.5</v>
      </c>
      <c r="P103" s="1" t="s">
        <v>291</v>
      </c>
      <c r="Q103" s="1">
        <v>25</v>
      </c>
      <c r="R103" s="1">
        <v>530</v>
      </c>
      <c r="S103" s="1" t="s">
        <v>489</v>
      </c>
    </row>
    <row r="104" spans="1:19" s="1" customFormat="1" ht="16.5" customHeight="1" x14ac:dyDescent="0.25">
      <c r="A104" s="1" t="s">
        <v>333</v>
      </c>
      <c r="B104" s="2">
        <v>1977</v>
      </c>
      <c r="C104" s="1" t="s">
        <v>12</v>
      </c>
      <c r="D104" s="1" t="s">
        <v>95</v>
      </c>
      <c r="E104" s="1" t="s">
        <v>170</v>
      </c>
      <c r="F104" s="1" t="s">
        <v>439</v>
      </c>
      <c r="G104" s="1" t="s">
        <v>261</v>
      </c>
      <c r="H104" s="6">
        <v>34.227499999999999</v>
      </c>
      <c r="I104" s="6">
        <v>-98.035430000000005</v>
      </c>
      <c r="J104" s="4">
        <v>951</v>
      </c>
      <c r="K104" s="5">
        <v>10114</v>
      </c>
      <c r="L104" s="5">
        <v>187463</v>
      </c>
      <c r="M104" s="4">
        <v>79.5</v>
      </c>
      <c r="N104" s="4">
        <f t="shared" si="1"/>
        <v>15.880079491837456</v>
      </c>
      <c r="O104" s="4">
        <v>52.1</v>
      </c>
      <c r="P104" s="1" t="s">
        <v>283</v>
      </c>
      <c r="Q104" s="1">
        <v>42</v>
      </c>
      <c r="R104" s="1">
        <v>1000</v>
      </c>
      <c r="S104" s="1" t="s">
        <v>489</v>
      </c>
    </row>
    <row r="105" spans="1:19" s="1" customFormat="1" ht="16.5" customHeight="1" x14ac:dyDescent="0.25">
      <c r="A105" s="1" t="s">
        <v>360</v>
      </c>
      <c r="B105" s="2">
        <v>1970</v>
      </c>
      <c r="C105" s="1" t="s">
        <v>12</v>
      </c>
      <c r="D105" s="1" t="s">
        <v>42</v>
      </c>
      <c r="E105" s="1" t="s">
        <v>61</v>
      </c>
      <c r="F105" s="1" t="str">
        <f>VLOOKUP(E105,Sheet1!$A$1:$B$83,2)</f>
        <v>Arkansas Valley</v>
      </c>
      <c r="G105" s="1" t="s">
        <v>176</v>
      </c>
      <c r="H105" s="6">
        <v>35.3645</v>
      </c>
      <c r="I105" s="6">
        <v>-94.824539999999999</v>
      </c>
      <c r="J105" s="4">
        <v>460</v>
      </c>
      <c r="K105" s="5">
        <v>43800</v>
      </c>
      <c r="L105" s="5">
        <v>493600</v>
      </c>
      <c r="M105" s="4">
        <v>278</v>
      </c>
      <c r="N105" s="4">
        <f t="shared" si="1"/>
        <v>16.001999487936015</v>
      </c>
      <c r="O105" s="4">
        <v>52.5</v>
      </c>
      <c r="P105" s="1" t="s">
        <v>298</v>
      </c>
      <c r="Q105" s="1">
        <v>22</v>
      </c>
      <c r="R105" s="1">
        <v>640</v>
      </c>
      <c r="S105" s="1" t="s">
        <v>489</v>
      </c>
    </row>
    <row r="106" spans="1:19" s="1" customFormat="1" ht="16.5" customHeight="1" x14ac:dyDescent="0.25">
      <c r="A106" s="1" t="s">
        <v>306</v>
      </c>
      <c r="B106" s="2">
        <v>1977</v>
      </c>
      <c r="C106" s="1" t="s">
        <v>12</v>
      </c>
      <c r="D106" s="1" t="s">
        <v>26</v>
      </c>
      <c r="E106" s="1" t="s">
        <v>27</v>
      </c>
      <c r="F106" s="1" t="str">
        <f>VLOOKUP(E106,Sheet1!$A$1:$B$83,2)</f>
        <v>Cross Timbers</v>
      </c>
      <c r="G106" s="1" t="s">
        <v>28</v>
      </c>
      <c r="H106" s="6">
        <v>36.517659999999999</v>
      </c>
      <c r="I106" s="6">
        <v>-96.17313</v>
      </c>
      <c r="J106" s="4">
        <v>750</v>
      </c>
      <c r="K106" s="5">
        <v>1137</v>
      </c>
      <c r="L106" s="5">
        <v>19000</v>
      </c>
      <c r="M106" s="4">
        <v>31</v>
      </c>
      <c r="N106" s="4">
        <f t="shared" si="1"/>
        <v>16.001999487936015</v>
      </c>
      <c r="O106" s="4">
        <v>52.5</v>
      </c>
      <c r="P106" s="1" t="s">
        <v>286</v>
      </c>
      <c r="Q106" s="1">
        <v>22</v>
      </c>
      <c r="R106" s="1">
        <v>760</v>
      </c>
      <c r="S106" s="1" t="s">
        <v>489</v>
      </c>
    </row>
    <row r="107" spans="1:19" s="1" customFormat="1" ht="16.5" customHeight="1" x14ac:dyDescent="0.25">
      <c r="A107" s="1" t="s">
        <v>400</v>
      </c>
      <c r="B107" s="2">
        <v>1940</v>
      </c>
      <c r="C107" s="1" t="s">
        <v>162</v>
      </c>
      <c r="D107" s="1" t="s">
        <v>26</v>
      </c>
      <c r="E107" s="1" t="s">
        <v>27</v>
      </c>
      <c r="F107" s="1" t="str">
        <f>VLOOKUP(E107,Sheet1!$A$1:$B$83,2)</f>
        <v>Cross Timbers</v>
      </c>
      <c r="G107" s="1" t="s">
        <v>163</v>
      </c>
      <c r="H107" s="6">
        <v>36.408180000000002</v>
      </c>
      <c r="I107" s="6">
        <v>-96.423050000000003</v>
      </c>
      <c r="J107" s="4">
        <v>850</v>
      </c>
      <c r="K107" s="4">
        <v>195</v>
      </c>
      <c r="L107" s="5">
        <v>4071</v>
      </c>
      <c r="M107" s="4">
        <v>7.5</v>
      </c>
      <c r="N107" s="4">
        <f t="shared" si="1"/>
        <v>16.032479486960657</v>
      </c>
      <c r="O107" s="4">
        <v>52.6</v>
      </c>
      <c r="P107" s="1" t="s">
        <v>291</v>
      </c>
      <c r="Q107" s="1">
        <v>22</v>
      </c>
      <c r="R107" s="1">
        <v>760</v>
      </c>
      <c r="S107" s="1" t="s">
        <v>489</v>
      </c>
    </row>
    <row r="108" spans="1:19" s="1" customFormat="1" ht="16.5" customHeight="1" x14ac:dyDescent="0.25">
      <c r="A108" s="1" t="s">
        <v>330</v>
      </c>
      <c r="B108" s="2">
        <v>1970</v>
      </c>
      <c r="C108" s="1" t="s">
        <v>12</v>
      </c>
      <c r="D108" s="1" t="s">
        <v>42</v>
      </c>
      <c r="E108" s="1" t="s">
        <v>146</v>
      </c>
      <c r="F108" s="1" t="s">
        <v>443</v>
      </c>
      <c r="G108" s="1" t="s">
        <v>176</v>
      </c>
      <c r="H108" s="6">
        <v>35.574339999999999</v>
      </c>
      <c r="I108" s="6">
        <v>-95.1798</v>
      </c>
      <c r="J108" s="4">
        <v>490</v>
      </c>
      <c r="K108" s="5">
        <v>11600</v>
      </c>
      <c r="L108" s="5">
        <v>165200</v>
      </c>
      <c r="M108" s="4">
        <v>232.2</v>
      </c>
      <c r="N108" s="4">
        <f t="shared" si="1"/>
        <v>16.489679472330259</v>
      </c>
      <c r="O108" s="4">
        <v>54.1</v>
      </c>
      <c r="P108" s="1" t="s">
        <v>298</v>
      </c>
      <c r="Q108" s="1">
        <v>22</v>
      </c>
      <c r="R108" s="1">
        <v>760</v>
      </c>
      <c r="S108" s="1" t="s">
        <v>489</v>
      </c>
    </row>
    <row r="109" spans="1:19" s="1" customFormat="1" ht="16.5" customHeight="1" x14ac:dyDescent="0.25">
      <c r="A109" s="1" t="s">
        <v>418</v>
      </c>
      <c r="B109" s="2">
        <v>1962</v>
      </c>
      <c r="C109" s="1" t="s">
        <v>115</v>
      </c>
      <c r="D109" s="1" t="s">
        <v>95</v>
      </c>
      <c r="E109" s="1" t="s">
        <v>116</v>
      </c>
      <c r="F109" s="1" t="s">
        <v>439</v>
      </c>
      <c r="G109" s="1" t="s">
        <v>117</v>
      </c>
      <c r="H109" s="6">
        <v>34.797980000000003</v>
      </c>
      <c r="I109" s="6">
        <v>-98.372929999999997</v>
      </c>
      <c r="J109" s="5">
        <v>1232</v>
      </c>
      <c r="K109" s="5">
        <v>5112</v>
      </c>
      <c r="L109" s="5">
        <v>81224</v>
      </c>
      <c r="M109" s="4">
        <v>53.5</v>
      </c>
      <c r="N109" s="4">
        <f t="shared" si="1"/>
        <v>16.520159471354898</v>
      </c>
      <c r="O109" s="4">
        <v>54.2</v>
      </c>
      <c r="P109" s="1" t="s">
        <v>291</v>
      </c>
      <c r="Q109" s="1">
        <v>42</v>
      </c>
      <c r="R109" s="1">
        <v>1000</v>
      </c>
      <c r="S109" s="1" t="s">
        <v>489</v>
      </c>
    </row>
    <row r="110" spans="1:19" s="1" customFormat="1" ht="16.5" customHeight="1" x14ac:dyDescent="0.25">
      <c r="A110" s="1" t="s">
        <v>358</v>
      </c>
      <c r="B110" s="2">
        <v>1982</v>
      </c>
      <c r="C110" s="1" t="s">
        <v>12</v>
      </c>
      <c r="D110" s="1" t="s">
        <v>38</v>
      </c>
      <c r="E110" s="1" t="s">
        <v>70</v>
      </c>
      <c r="F110" s="1" t="s">
        <v>459</v>
      </c>
      <c r="G110" s="1" t="s">
        <v>230</v>
      </c>
      <c r="H110" s="6">
        <v>34.657649999999997</v>
      </c>
      <c r="I110" s="6">
        <v>-95.334230000000005</v>
      </c>
      <c r="J110" s="4">
        <v>599</v>
      </c>
      <c r="K110" s="5">
        <v>13589</v>
      </c>
      <c r="L110" s="5">
        <v>233053</v>
      </c>
      <c r="M110" s="4">
        <v>86.4</v>
      </c>
      <c r="N110" s="4">
        <f t="shared" si="1"/>
        <v>16.824959461601299</v>
      </c>
      <c r="O110" s="4">
        <v>55.2</v>
      </c>
      <c r="P110" s="1" t="s">
        <v>283</v>
      </c>
      <c r="Q110" s="1">
        <v>18</v>
      </c>
      <c r="R110" s="1">
        <v>600</v>
      </c>
      <c r="S110" s="1" t="s">
        <v>489</v>
      </c>
    </row>
    <row r="111" spans="1:19" s="1" customFormat="1" ht="16.5" customHeight="1" x14ac:dyDescent="0.25">
      <c r="A111" s="1" t="s">
        <v>103</v>
      </c>
      <c r="B111" s="2">
        <v>1928</v>
      </c>
      <c r="C111" s="1" t="s">
        <v>101</v>
      </c>
      <c r="D111" s="1" t="s">
        <v>102</v>
      </c>
      <c r="E111" s="1" t="s">
        <v>103</v>
      </c>
      <c r="F111" s="1" t="s">
        <v>443</v>
      </c>
      <c r="G111" s="1" t="s">
        <v>104</v>
      </c>
      <c r="H111" s="6">
        <v>35.622030000000002</v>
      </c>
      <c r="I111" s="6">
        <v>-96.066450000000003</v>
      </c>
      <c r="J111" s="4">
        <v>690</v>
      </c>
      <c r="K111" s="4">
        <v>644</v>
      </c>
      <c r="L111" s="5">
        <v>11497</v>
      </c>
      <c r="M111" s="4">
        <v>22</v>
      </c>
      <c r="N111" s="4">
        <f t="shared" si="1"/>
        <v>16.885919459650577</v>
      </c>
      <c r="O111" s="4">
        <v>55.4</v>
      </c>
      <c r="P111" s="1" t="s">
        <v>291</v>
      </c>
      <c r="Q111" s="1">
        <v>22</v>
      </c>
      <c r="R111" s="1">
        <v>760</v>
      </c>
      <c r="S111" s="1" t="s">
        <v>489</v>
      </c>
    </row>
    <row r="112" spans="1:19" s="1" customFormat="1" ht="16.5" customHeight="1" x14ac:dyDescent="0.25">
      <c r="A112" s="1" t="s">
        <v>308</v>
      </c>
      <c r="B112" s="2">
        <v>1958</v>
      </c>
      <c r="C112" s="1" t="s">
        <v>32</v>
      </c>
      <c r="D112" s="1" t="s">
        <v>26</v>
      </c>
      <c r="E112" s="1" t="s">
        <v>27</v>
      </c>
      <c r="F112" s="1" t="str">
        <f>VLOOKUP(E112,Sheet1!$A$1:$B$83,2)</f>
        <v>Cross Timbers</v>
      </c>
      <c r="G112" s="1" t="s">
        <v>33</v>
      </c>
      <c r="H112" s="6">
        <v>36.693219999999997</v>
      </c>
      <c r="I112" s="6">
        <v>-96.400099999999995</v>
      </c>
      <c r="J112" s="4">
        <v>877</v>
      </c>
      <c r="K112" s="4">
        <v>865</v>
      </c>
      <c r="L112" s="5">
        <v>14436</v>
      </c>
      <c r="M112" s="4">
        <v>22.4</v>
      </c>
      <c r="N112" s="4">
        <f t="shared" si="1"/>
        <v>17.495519440143379</v>
      </c>
      <c r="O112" s="4">
        <v>57.4</v>
      </c>
      <c r="P112" s="1" t="s">
        <v>286</v>
      </c>
      <c r="Q112" s="1">
        <v>22</v>
      </c>
      <c r="R112" s="1">
        <v>760</v>
      </c>
      <c r="S112" s="1" t="s">
        <v>489</v>
      </c>
    </row>
    <row r="113" spans="1:19" s="1" customFormat="1" ht="16.5" customHeight="1" x14ac:dyDescent="0.25">
      <c r="A113" s="1" t="s">
        <v>367</v>
      </c>
      <c r="B113" s="2">
        <v>1969</v>
      </c>
      <c r="C113" s="1" t="s">
        <v>12</v>
      </c>
      <c r="D113" s="1" t="s">
        <v>38</v>
      </c>
      <c r="E113" s="1" t="s">
        <v>39</v>
      </c>
      <c r="F113" s="1" t="str">
        <f>VLOOKUP(E113,Sheet1!$A$1:$B$83,2)</f>
        <v>Ouachita Mountains</v>
      </c>
      <c r="G113" s="1" t="s">
        <v>218</v>
      </c>
      <c r="H113" s="6">
        <v>34.105130000000003</v>
      </c>
      <c r="I113" s="6">
        <v>-95.087959999999995</v>
      </c>
      <c r="J113" s="4">
        <v>438</v>
      </c>
      <c r="K113" s="5">
        <v>3750</v>
      </c>
      <c r="L113" s="5">
        <v>53750</v>
      </c>
      <c r="M113" s="4">
        <v>103.7</v>
      </c>
      <c r="N113" s="4">
        <f t="shared" si="1"/>
        <v>17.495519440143379</v>
      </c>
      <c r="O113" s="4">
        <v>57.4</v>
      </c>
      <c r="P113" s="1" t="s">
        <v>291</v>
      </c>
      <c r="Q113" s="1">
        <v>18</v>
      </c>
      <c r="R113" s="1">
        <v>600</v>
      </c>
      <c r="S113" s="1" t="s">
        <v>489</v>
      </c>
    </row>
    <row r="114" spans="1:19" s="1" customFormat="1" ht="16.5" customHeight="1" x14ac:dyDescent="0.25">
      <c r="A114" s="1" t="s">
        <v>339</v>
      </c>
      <c r="B114" s="2">
        <v>1965</v>
      </c>
      <c r="C114" s="1" t="s">
        <v>8</v>
      </c>
      <c r="D114" s="1" t="s">
        <v>13</v>
      </c>
      <c r="E114" s="1" t="s">
        <v>92</v>
      </c>
      <c r="F114" s="1" t="s">
        <v>439</v>
      </c>
      <c r="G114" s="1" t="s">
        <v>218</v>
      </c>
      <c r="H114" s="6">
        <v>35.209780000000002</v>
      </c>
      <c r="I114" s="6">
        <v>-97.249870000000001</v>
      </c>
      <c r="J114" s="5">
        <v>1039</v>
      </c>
      <c r="K114" s="5">
        <v>5377</v>
      </c>
      <c r="L114" s="5">
        <v>106670</v>
      </c>
      <c r="M114" s="4">
        <v>59.6</v>
      </c>
      <c r="N114" s="4">
        <f t="shared" si="1"/>
        <v>17.678399434291219</v>
      </c>
      <c r="O114" s="4">
        <v>58</v>
      </c>
      <c r="P114" s="1" t="s">
        <v>291</v>
      </c>
      <c r="Q114" s="1">
        <v>38</v>
      </c>
      <c r="R114" s="1">
        <v>1000</v>
      </c>
      <c r="S114" s="1" t="s">
        <v>489</v>
      </c>
    </row>
    <row r="115" spans="1:19" s="1" customFormat="1" ht="16.5" customHeight="1" x14ac:dyDescent="0.25">
      <c r="A115" s="1" t="s">
        <v>387</v>
      </c>
      <c r="B115" s="2">
        <v>1905</v>
      </c>
      <c r="C115" s="1" t="s">
        <v>115</v>
      </c>
      <c r="D115" s="1" t="s">
        <v>95</v>
      </c>
      <c r="E115" s="1" t="s">
        <v>116</v>
      </c>
      <c r="F115" s="1" t="s">
        <v>439</v>
      </c>
      <c r="G115" s="1" t="s">
        <v>183</v>
      </c>
      <c r="H115" s="6">
        <v>34.745510000000003</v>
      </c>
      <c r="I115" s="6">
        <v>-98.484570000000005</v>
      </c>
      <c r="J115" s="5">
        <v>1343</v>
      </c>
      <c r="K115" s="5">
        <v>2324</v>
      </c>
      <c r="L115" s="5">
        <v>55171</v>
      </c>
      <c r="M115" s="4">
        <v>19.2</v>
      </c>
      <c r="N115" s="4">
        <f t="shared" si="1"/>
        <v>17.800319430389777</v>
      </c>
      <c r="O115" s="4">
        <v>58.4</v>
      </c>
      <c r="P115" s="1" t="s">
        <v>291</v>
      </c>
      <c r="Q115" s="1">
        <v>38</v>
      </c>
      <c r="R115" s="1">
        <v>1000</v>
      </c>
      <c r="S115" s="1" t="s">
        <v>489</v>
      </c>
    </row>
    <row r="116" spans="1:19" s="1" customFormat="1" ht="16.5" customHeight="1" x14ac:dyDescent="0.25">
      <c r="A116" s="1" t="s">
        <v>21</v>
      </c>
      <c r="B116" s="2">
        <v>1964</v>
      </c>
      <c r="C116" s="1" t="s">
        <v>19</v>
      </c>
      <c r="D116" s="1" t="s">
        <v>20</v>
      </c>
      <c r="E116" s="1" t="s">
        <v>21</v>
      </c>
      <c r="F116" s="1" t="s">
        <v>459</v>
      </c>
      <c r="G116" s="1" t="s">
        <v>22</v>
      </c>
      <c r="H116" s="6">
        <v>34.451990000000002</v>
      </c>
      <c r="I116" s="6">
        <v>-96.076260000000005</v>
      </c>
      <c r="J116" s="4">
        <v>590</v>
      </c>
      <c r="K116" s="5">
        <v>5537</v>
      </c>
      <c r="L116" s="5">
        <v>105195</v>
      </c>
      <c r="M116" s="4">
        <v>63.6</v>
      </c>
      <c r="N116" s="4">
        <f t="shared" si="1"/>
        <v>18.257519415759379</v>
      </c>
      <c r="O116" s="4">
        <v>59.9</v>
      </c>
      <c r="P116" s="1" t="s">
        <v>284</v>
      </c>
      <c r="Q116" s="1">
        <v>17</v>
      </c>
      <c r="R116" s="1">
        <v>600</v>
      </c>
      <c r="S116" s="1" t="s">
        <v>489</v>
      </c>
    </row>
    <row r="117" spans="1:19" s="1" customFormat="1" ht="16.5" customHeight="1" x14ac:dyDescent="0.25">
      <c r="A117" s="1" t="s">
        <v>425</v>
      </c>
      <c r="B117" s="2">
        <v>1953</v>
      </c>
      <c r="C117" s="1" t="s">
        <v>12</v>
      </c>
      <c r="D117" s="1" t="s">
        <v>123</v>
      </c>
      <c r="E117" s="1" t="s">
        <v>132</v>
      </c>
      <c r="F117" s="1" t="str">
        <f>VLOOKUP(E117,Sheet1!$A$1:$B$83,2)</f>
        <v>Boston Mountains</v>
      </c>
      <c r="G117" s="1" t="s">
        <v>133</v>
      </c>
      <c r="H117" s="6">
        <v>35.865209999999998</v>
      </c>
      <c r="I117" s="6">
        <v>-95.241079999999997</v>
      </c>
      <c r="J117" s="4">
        <v>554</v>
      </c>
      <c r="K117" s="5">
        <v>19896</v>
      </c>
      <c r="L117" s="5">
        <v>306133</v>
      </c>
      <c r="M117" s="4">
        <v>211</v>
      </c>
      <c r="N117" s="4">
        <f t="shared" si="1"/>
        <v>18.287999414784018</v>
      </c>
      <c r="O117" s="4">
        <v>60</v>
      </c>
      <c r="P117" s="1" t="s">
        <v>291</v>
      </c>
      <c r="Q117" s="1">
        <v>16</v>
      </c>
      <c r="R117" s="1">
        <v>690</v>
      </c>
      <c r="S117" s="1" t="s">
        <v>489</v>
      </c>
    </row>
    <row r="118" spans="1:19" s="1" customFormat="1" ht="16.5" customHeight="1" x14ac:dyDescent="0.25">
      <c r="A118" s="1" t="s">
        <v>307</v>
      </c>
      <c r="B118" s="2">
        <v>1965</v>
      </c>
      <c r="C118" s="1" t="s">
        <v>29</v>
      </c>
      <c r="D118" s="1" t="s">
        <v>26</v>
      </c>
      <c r="E118" s="1" t="s">
        <v>30</v>
      </c>
      <c r="F118" s="1" t="s">
        <v>443</v>
      </c>
      <c r="G118" s="1" t="s">
        <v>31</v>
      </c>
      <c r="H118" s="6">
        <v>35.89622</v>
      </c>
      <c r="I118" s="6">
        <v>-95.797870000000003</v>
      </c>
      <c r="J118" s="4">
        <v>691</v>
      </c>
      <c r="K118" s="4">
        <v>110</v>
      </c>
      <c r="L118" s="5">
        <v>3130</v>
      </c>
      <c r="M118" s="4">
        <v>2</v>
      </c>
      <c r="N118" s="4">
        <f t="shared" si="1"/>
        <v>18.714719401128978</v>
      </c>
      <c r="O118" s="4">
        <v>61.4</v>
      </c>
      <c r="P118" s="1" t="s">
        <v>286</v>
      </c>
      <c r="Q118" s="1">
        <v>21</v>
      </c>
      <c r="R118" s="1">
        <v>760</v>
      </c>
      <c r="S118" s="1" t="s">
        <v>489</v>
      </c>
    </row>
    <row r="119" spans="1:19" s="1" customFormat="1" ht="16.5" customHeight="1" x14ac:dyDescent="0.25">
      <c r="A119" s="1" t="s">
        <v>398</v>
      </c>
      <c r="B119" s="2">
        <v>1964</v>
      </c>
      <c r="C119" s="1" t="s">
        <v>142</v>
      </c>
      <c r="D119" s="1" t="s">
        <v>123</v>
      </c>
      <c r="E119" s="1" t="s">
        <v>143</v>
      </c>
      <c r="F119" s="1" t="s">
        <v>466</v>
      </c>
      <c r="G119" s="1" t="s">
        <v>133</v>
      </c>
      <c r="H119" s="6">
        <v>36.289119999999997</v>
      </c>
      <c r="I119" s="6">
        <v>-95.155370000000005</v>
      </c>
      <c r="J119" s="4">
        <v>619</v>
      </c>
      <c r="K119" s="5">
        <v>11029</v>
      </c>
      <c r="L119" s="5">
        <v>200185</v>
      </c>
      <c r="M119" s="4">
        <v>143.30000000000001</v>
      </c>
      <c r="N119" s="4">
        <f t="shared" si="1"/>
        <v>19.811999366016021</v>
      </c>
      <c r="O119" s="4">
        <v>65</v>
      </c>
      <c r="P119" s="1" t="s">
        <v>291</v>
      </c>
      <c r="Q119" s="1">
        <v>24</v>
      </c>
      <c r="R119" s="1">
        <v>780</v>
      </c>
      <c r="S119" s="1" t="s">
        <v>489</v>
      </c>
    </row>
    <row r="120" spans="1:19" s="1" customFormat="1" ht="16.5" customHeight="1" x14ac:dyDescent="0.25">
      <c r="A120" s="1" t="s">
        <v>374</v>
      </c>
      <c r="B120" s="2">
        <v>1963</v>
      </c>
      <c r="C120" s="1" t="s">
        <v>12</v>
      </c>
      <c r="D120" s="1" t="s">
        <v>26</v>
      </c>
      <c r="E120" s="1" t="s">
        <v>68</v>
      </c>
      <c r="F120" s="1" t="str">
        <f>VLOOKUP(E120,Sheet1!$A$1:$B$83,2)</f>
        <v>Central Irregular Plains</v>
      </c>
      <c r="G120" s="1" t="s">
        <v>208</v>
      </c>
      <c r="H120" s="6">
        <v>36.428150000000002</v>
      </c>
      <c r="I120" s="6">
        <v>-95.681079999999994</v>
      </c>
      <c r="J120" s="4">
        <v>638</v>
      </c>
      <c r="K120" s="5">
        <v>29460</v>
      </c>
      <c r="L120" s="5">
        <v>544100</v>
      </c>
      <c r="M120" s="4">
        <v>216.9</v>
      </c>
      <c r="N120" s="4">
        <f t="shared" si="1"/>
        <v>22.006559295790105</v>
      </c>
      <c r="O120" s="4">
        <v>72.2</v>
      </c>
      <c r="P120" s="1" t="s">
        <v>291</v>
      </c>
      <c r="Q120" s="1">
        <v>24</v>
      </c>
      <c r="R120" s="1">
        <v>780</v>
      </c>
      <c r="S120" s="1" t="s">
        <v>489</v>
      </c>
    </row>
    <row r="121" spans="1:19" s="1" customFormat="1" ht="16.5" customHeight="1" x14ac:dyDescent="0.25">
      <c r="A121" s="1" t="s">
        <v>390</v>
      </c>
      <c r="B121" s="2">
        <v>1964</v>
      </c>
      <c r="C121" s="1" t="s">
        <v>12</v>
      </c>
      <c r="D121" s="1" t="s">
        <v>35</v>
      </c>
      <c r="E121" s="1" t="s">
        <v>177</v>
      </c>
      <c r="F121" s="1" t="s">
        <v>443</v>
      </c>
      <c r="G121" s="1" t="s">
        <v>176</v>
      </c>
      <c r="H121" s="6">
        <v>36.1402</v>
      </c>
      <c r="I121" s="6">
        <v>-96.259910000000005</v>
      </c>
      <c r="J121" s="4">
        <v>723</v>
      </c>
      <c r="K121" s="5">
        <v>23610</v>
      </c>
      <c r="L121" s="5">
        <v>557600</v>
      </c>
      <c r="M121" s="4">
        <v>296.5</v>
      </c>
      <c r="N121" s="4">
        <f t="shared" si="1"/>
        <v>22.250399287987221</v>
      </c>
      <c r="O121" s="4">
        <v>73</v>
      </c>
      <c r="P121" s="1" t="s">
        <v>291</v>
      </c>
      <c r="Q121" s="1">
        <v>21</v>
      </c>
      <c r="R121" s="1">
        <v>760</v>
      </c>
      <c r="S121" s="1" t="s">
        <v>489</v>
      </c>
    </row>
    <row r="122" spans="1:19" s="1" customFormat="1" ht="16.5" customHeight="1" x14ac:dyDescent="0.25">
      <c r="A122" s="1" t="s">
        <v>351</v>
      </c>
      <c r="B122" s="2">
        <v>1972</v>
      </c>
      <c r="C122" s="1" t="s">
        <v>178</v>
      </c>
      <c r="D122" s="1" t="s">
        <v>35</v>
      </c>
      <c r="E122" s="1" t="s">
        <v>76</v>
      </c>
      <c r="F122" s="1" t="str">
        <f>VLOOKUP(E122,Sheet1!$A$1:$B$83,2)</f>
        <v>Central Great Plains</v>
      </c>
      <c r="G122" s="1" t="s">
        <v>238</v>
      </c>
      <c r="H122" s="6">
        <v>36.407829999999997</v>
      </c>
      <c r="I122" s="6">
        <v>-97.020830000000004</v>
      </c>
      <c r="J122" s="4">
        <v>927</v>
      </c>
      <c r="K122" s="5">
        <v>5400</v>
      </c>
      <c r="L122" s="5">
        <v>149000</v>
      </c>
      <c r="M122" s="4">
        <v>51.8</v>
      </c>
      <c r="N122" s="4">
        <f t="shared" si="1"/>
        <v>22.402799283110422</v>
      </c>
      <c r="O122" s="4">
        <v>73.5</v>
      </c>
      <c r="P122" s="1" t="s">
        <v>291</v>
      </c>
      <c r="Q122" s="1">
        <v>38</v>
      </c>
      <c r="R122" s="1">
        <v>1000</v>
      </c>
      <c r="S122" s="1" t="s">
        <v>489</v>
      </c>
    </row>
    <row r="123" spans="1:19" s="1" customFormat="1" ht="16.5" customHeight="1" x14ac:dyDescent="0.25">
      <c r="A123" s="1" t="s">
        <v>391</v>
      </c>
      <c r="B123" s="2">
        <v>1976</v>
      </c>
      <c r="C123" s="1" t="s">
        <v>12</v>
      </c>
      <c r="D123" s="1" t="s">
        <v>35</v>
      </c>
      <c r="E123" s="1" t="s">
        <v>27</v>
      </c>
      <c r="F123" s="1" t="str">
        <f>VLOOKUP(E123,Sheet1!$A$1:$B$83,2)</f>
        <v>Cross Timbers</v>
      </c>
      <c r="G123" s="1" t="s">
        <v>176</v>
      </c>
      <c r="H123" s="6">
        <v>36.76435</v>
      </c>
      <c r="I123" s="6">
        <v>-96.81071</v>
      </c>
      <c r="J123" s="5">
        <v>1010</v>
      </c>
      <c r="K123" s="5">
        <v>23610</v>
      </c>
      <c r="L123" s="5">
        <v>428600</v>
      </c>
      <c r="M123" s="4">
        <v>149</v>
      </c>
      <c r="N123" s="4">
        <f t="shared" si="1"/>
        <v>22.707599273356823</v>
      </c>
      <c r="O123" s="4">
        <v>74.5</v>
      </c>
      <c r="P123" s="1" t="s">
        <v>291</v>
      </c>
      <c r="Q123" s="1">
        <v>21</v>
      </c>
      <c r="R123" s="1">
        <v>760</v>
      </c>
      <c r="S123" s="1" t="s">
        <v>489</v>
      </c>
    </row>
    <row r="124" spans="1:19" s="1" customFormat="1" ht="16.5" customHeight="1" x14ac:dyDescent="0.25">
      <c r="A124" s="1" t="s">
        <v>301</v>
      </c>
      <c r="B124" s="2">
        <v>1966</v>
      </c>
      <c r="C124" s="1" t="s">
        <v>4</v>
      </c>
      <c r="D124" s="1" t="s">
        <v>5</v>
      </c>
      <c r="E124" s="1" t="s">
        <v>6</v>
      </c>
      <c r="F124" s="1" t="s">
        <v>439</v>
      </c>
      <c r="G124" s="1" t="s">
        <v>7</v>
      </c>
      <c r="H124" s="6">
        <v>35.62997</v>
      </c>
      <c r="I124" s="6">
        <v>-98.506399999999999</v>
      </c>
      <c r="J124" s="5">
        <v>1610</v>
      </c>
      <c r="K124" s="4">
        <v>91</v>
      </c>
      <c r="L124" s="5">
        <v>2200</v>
      </c>
      <c r="M124" s="4">
        <v>6.1</v>
      </c>
      <c r="N124" s="4">
        <f t="shared" si="1"/>
        <v>22.859999268480024</v>
      </c>
      <c r="O124" s="4">
        <v>75</v>
      </c>
      <c r="P124" s="1" t="s">
        <v>284</v>
      </c>
      <c r="Q124" s="1">
        <v>38</v>
      </c>
      <c r="R124" s="1">
        <v>1000</v>
      </c>
      <c r="S124" s="1" t="s">
        <v>489</v>
      </c>
    </row>
    <row r="125" spans="1:19" s="1" customFormat="1" ht="16.5" customHeight="1" x14ac:dyDescent="0.25">
      <c r="A125" s="1" t="s">
        <v>405</v>
      </c>
      <c r="B125" s="2">
        <v>1947</v>
      </c>
      <c r="C125" s="1" t="s">
        <v>19</v>
      </c>
      <c r="D125" s="1" t="s">
        <v>13</v>
      </c>
      <c r="E125" s="1" t="s">
        <v>14</v>
      </c>
      <c r="F125" s="1" t="str">
        <f>VLOOKUP(E125,Sheet1!$A$1:$B$83,2)</f>
        <v>Central Great Plains</v>
      </c>
      <c r="G125" s="1" t="s">
        <v>154</v>
      </c>
      <c r="H125" s="6">
        <v>35.549320000000002</v>
      </c>
      <c r="I125" s="6">
        <v>-97.597970000000004</v>
      </c>
      <c r="J125" s="5">
        <v>1199</v>
      </c>
      <c r="K125" s="5">
        <v>2500</v>
      </c>
      <c r="L125" s="5">
        <v>69893</v>
      </c>
      <c r="M125" s="4">
        <v>16.399999999999999</v>
      </c>
      <c r="N125" s="4">
        <f t="shared" si="1"/>
        <v>23.317199253849623</v>
      </c>
      <c r="O125" s="4">
        <v>76.5</v>
      </c>
      <c r="P125" s="1" t="s">
        <v>283</v>
      </c>
      <c r="Q125" s="1">
        <v>38</v>
      </c>
      <c r="R125" s="1">
        <v>1000</v>
      </c>
      <c r="S125" s="1" t="s">
        <v>489</v>
      </c>
    </row>
    <row r="126" spans="1:19" s="1" customFormat="1" ht="16.5" customHeight="1" x14ac:dyDescent="0.25">
      <c r="A126" s="1" t="s">
        <v>421</v>
      </c>
      <c r="B126" s="2">
        <v>1952</v>
      </c>
      <c r="C126" s="1" t="s">
        <v>122</v>
      </c>
      <c r="D126" s="1" t="s">
        <v>123</v>
      </c>
      <c r="E126" s="1" t="s">
        <v>124</v>
      </c>
      <c r="F126" s="1" t="s">
        <v>466</v>
      </c>
      <c r="G126" s="1" t="s">
        <v>125</v>
      </c>
      <c r="H126" s="6">
        <v>36.355029999999999</v>
      </c>
      <c r="I126" s="6">
        <v>-94.819289999999995</v>
      </c>
      <c r="J126" s="4">
        <v>778</v>
      </c>
      <c r="K126" s="5">
        <v>2812</v>
      </c>
      <c r="L126" s="5">
        <v>74456</v>
      </c>
      <c r="M126" s="4">
        <v>48</v>
      </c>
      <c r="N126" s="4">
        <f t="shared" si="1"/>
        <v>25.359359188500505</v>
      </c>
      <c r="O126" s="4">
        <v>83.2</v>
      </c>
      <c r="P126" s="1" t="s">
        <v>291</v>
      </c>
      <c r="Q126" s="1">
        <v>24</v>
      </c>
      <c r="R126" s="1">
        <v>780</v>
      </c>
      <c r="S126" s="1" t="s">
        <v>489</v>
      </c>
    </row>
    <row r="127" spans="1:19" s="1" customFormat="1" ht="16.5" customHeight="1" x14ac:dyDescent="0.25">
      <c r="A127" s="1" t="s">
        <v>302</v>
      </c>
      <c r="B127" s="2">
        <v>1967</v>
      </c>
      <c r="C127" s="1" t="s">
        <v>8</v>
      </c>
      <c r="D127" s="1" t="s">
        <v>9</v>
      </c>
      <c r="E127" s="1" t="s">
        <v>10</v>
      </c>
      <c r="F127" s="1" t="str">
        <f>VLOOKUP(E127,Sheet1!$A$1:$B$83,2)</f>
        <v>Cross Timbers</v>
      </c>
      <c r="G127" s="1" t="s">
        <v>11</v>
      </c>
      <c r="H127" s="6">
        <v>34.438249999999996</v>
      </c>
      <c r="I127" s="6">
        <v>-97.007220000000004</v>
      </c>
      <c r="J127" s="4">
        <v>872</v>
      </c>
      <c r="K127" s="5">
        <v>2358</v>
      </c>
      <c r="L127" s="5">
        <v>71763</v>
      </c>
      <c r="M127" s="4">
        <v>49.4</v>
      </c>
      <c r="N127" s="4">
        <f t="shared" si="1"/>
        <v>26.090879165091867</v>
      </c>
      <c r="O127" s="4">
        <v>85.6</v>
      </c>
      <c r="P127" s="1" t="s">
        <v>285</v>
      </c>
      <c r="Q127" s="1">
        <v>21</v>
      </c>
      <c r="R127" s="1">
        <v>760</v>
      </c>
      <c r="S127" s="1" t="s">
        <v>489</v>
      </c>
    </row>
    <row r="128" spans="1:19" s="1" customFormat="1" ht="16.5" customHeight="1" x14ac:dyDescent="0.25">
      <c r="A128" s="1" t="s">
        <v>427</v>
      </c>
      <c r="B128" s="2">
        <v>1961</v>
      </c>
      <c r="C128" s="1" t="s">
        <v>8</v>
      </c>
      <c r="D128" s="1" t="s">
        <v>5</v>
      </c>
      <c r="E128" s="1" t="s">
        <v>136</v>
      </c>
      <c r="F128" s="1" t="s">
        <v>439</v>
      </c>
      <c r="G128" s="1" t="s">
        <v>137</v>
      </c>
      <c r="H128" s="6">
        <v>35.529859999999999</v>
      </c>
      <c r="I128" s="6">
        <v>-99.186850000000007</v>
      </c>
      <c r="J128" s="5">
        <v>1652</v>
      </c>
      <c r="K128" s="5">
        <v>8800</v>
      </c>
      <c r="L128" s="5">
        <v>256400</v>
      </c>
      <c r="M128" s="4">
        <v>41.8</v>
      </c>
      <c r="N128" s="4">
        <f t="shared" si="1"/>
        <v>27.127199131929629</v>
      </c>
      <c r="O128" s="4">
        <v>89</v>
      </c>
      <c r="P128" s="1" t="s">
        <v>291</v>
      </c>
      <c r="Q128" s="1">
        <v>38</v>
      </c>
      <c r="R128" s="1">
        <v>1000</v>
      </c>
      <c r="S128" s="1" t="s">
        <v>489</v>
      </c>
    </row>
    <row r="129" spans="1:19" s="1" customFormat="1" ht="16.5" customHeight="1" x14ac:dyDescent="0.25">
      <c r="A129" s="1" t="s">
        <v>102</v>
      </c>
      <c r="B129" s="2">
        <v>1964</v>
      </c>
      <c r="C129" s="1" t="s">
        <v>12</v>
      </c>
      <c r="D129" s="1" t="s">
        <v>102</v>
      </c>
      <c r="E129" s="1" t="s">
        <v>126</v>
      </c>
      <c r="F129" s="1" t="s">
        <v>443</v>
      </c>
      <c r="G129" s="1" t="s">
        <v>127</v>
      </c>
      <c r="H129" s="6">
        <v>35.279629999999997</v>
      </c>
      <c r="I129" s="6">
        <v>-95.578490000000002</v>
      </c>
      <c r="J129" s="4">
        <v>585</v>
      </c>
      <c r="K129" s="5">
        <v>105500</v>
      </c>
      <c r="L129" s="5">
        <v>2330000</v>
      </c>
      <c r="M129" s="4">
        <v>833.9</v>
      </c>
      <c r="N129" s="4">
        <f t="shared" si="1"/>
        <v>27.492959120225308</v>
      </c>
      <c r="O129" s="4">
        <v>90.2</v>
      </c>
      <c r="P129" s="1" t="s">
        <v>291</v>
      </c>
      <c r="Q129" s="1">
        <v>21</v>
      </c>
      <c r="R129" s="1">
        <v>760</v>
      </c>
      <c r="S129" s="1" t="s">
        <v>489</v>
      </c>
    </row>
    <row r="130" spans="1:19" s="1" customFormat="1" ht="16.5" customHeight="1" x14ac:dyDescent="0.25">
      <c r="A130" s="1" t="s">
        <v>420</v>
      </c>
      <c r="B130" s="2">
        <v>1939</v>
      </c>
      <c r="C130" s="1" t="s">
        <v>120</v>
      </c>
      <c r="D130" s="1" t="s">
        <v>95</v>
      </c>
      <c r="E130" s="1" t="s">
        <v>116</v>
      </c>
      <c r="F130" s="1" t="s">
        <v>439</v>
      </c>
      <c r="G130" s="1" t="s">
        <v>121</v>
      </c>
      <c r="H130" s="6">
        <v>34.720889999999997</v>
      </c>
      <c r="I130" s="6">
        <v>-98.513589999999994</v>
      </c>
      <c r="J130" s="5">
        <v>1383</v>
      </c>
      <c r="K130" s="4">
        <v>334</v>
      </c>
      <c r="L130" s="5">
        <v>7241</v>
      </c>
      <c r="M130" s="4">
        <v>9.6999999999999993</v>
      </c>
      <c r="N130" s="4">
        <f t="shared" si="1"/>
        <v>28.28543909486595</v>
      </c>
      <c r="O130" s="4">
        <v>92.8</v>
      </c>
      <c r="P130" s="1" t="s">
        <v>291</v>
      </c>
      <c r="Q130" s="1">
        <v>38</v>
      </c>
      <c r="R130" s="1">
        <v>1000</v>
      </c>
      <c r="S130" s="1" t="s">
        <v>489</v>
      </c>
    </row>
    <row r="131" spans="1:19" s="1" customFormat="1" ht="16.5" customHeight="1" x14ac:dyDescent="0.25">
      <c r="A131" s="1" t="s">
        <v>348</v>
      </c>
      <c r="B131" s="2">
        <v>1962</v>
      </c>
      <c r="C131" s="1" t="s">
        <v>19</v>
      </c>
      <c r="D131" s="1" t="s">
        <v>13</v>
      </c>
      <c r="E131" s="1" t="s">
        <v>92</v>
      </c>
      <c r="F131" s="1" t="s">
        <v>439</v>
      </c>
      <c r="G131" s="1" t="s">
        <v>241</v>
      </c>
      <c r="H131" s="6">
        <v>35.364240000000002</v>
      </c>
      <c r="I131" s="6">
        <v>-97.378339999999994</v>
      </c>
      <c r="J131" s="5">
        <v>1191</v>
      </c>
      <c r="K131" s="5">
        <v>2519</v>
      </c>
      <c r="L131" s="5">
        <v>87296</v>
      </c>
      <c r="M131" s="4">
        <v>32</v>
      </c>
      <c r="N131" s="4">
        <f t="shared" ref="N131:N148" si="2">O131/3.28084</f>
        <v>28.498799088038428</v>
      </c>
      <c r="O131" s="4">
        <v>93.5</v>
      </c>
      <c r="P131" s="1" t="s">
        <v>291</v>
      </c>
      <c r="Q131" s="1">
        <v>38</v>
      </c>
      <c r="R131" s="1">
        <v>1000</v>
      </c>
      <c r="S131" s="1" t="s">
        <v>489</v>
      </c>
    </row>
    <row r="132" spans="1:19" s="1" customFormat="1" ht="16.5" customHeight="1" x14ac:dyDescent="0.25">
      <c r="A132" s="1" t="s">
        <v>10</v>
      </c>
      <c r="B132" s="2">
        <v>1937</v>
      </c>
      <c r="C132" s="1" t="s">
        <v>55</v>
      </c>
      <c r="D132" s="1" t="s">
        <v>9</v>
      </c>
      <c r="E132" s="1" t="s">
        <v>200</v>
      </c>
      <c r="F132" s="1" t="s">
        <v>443</v>
      </c>
      <c r="G132" s="1" t="s">
        <v>201</v>
      </c>
      <c r="H132" s="6">
        <v>34.092529999999996</v>
      </c>
      <c r="I132" s="6">
        <v>-97.099720000000005</v>
      </c>
      <c r="J132" s="4">
        <v>750</v>
      </c>
      <c r="K132" s="5">
        <v>5930</v>
      </c>
      <c r="L132" s="5">
        <v>161642</v>
      </c>
      <c r="M132" s="4">
        <v>95.6</v>
      </c>
      <c r="N132" s="4">
        <f t="shared" si="2"/>
        <v>31.333438997329953</v>
      </c>
      <c r="O132" s="4">
        <v>102.8</v>
      </c>
      <c r="P132" s="1" t="s">
        <v>291</v>
      </c>
      <c r="Q132" s="1">
        <v>21</v>
      </c>
      <c r="R132" s="1">
        <v>760</v>
      </c>
      <c r="S132" s="1" t="s">
        <v>489</v>
      </c>
    </row>
    <row r="133" spans="1:19" s="1" customFormat="1" ht="16.5" customHeight="1" x14ac:dyDescent="0.25">
      <c r="A133" s="1" t="s">
        <v>194</v>
      </c>
      <c r="B133" s="2">
        <v>1987</v>
      </c>
      <c r="C133" s="1" t="s">
        <v>8</v>
      </c>
      <c r="D133" s="1" t="s">
        <v>20</v>
      </c>
      <c r="E133" s="1" t="s">
        <v>21</v>
      </c>
      <c r="F133" s="1" t="s">
        <v>459</v>
      </c>
      <c r="G133" s="1" t="s">
        <v>194</v>
      </c>
      <c r="H133" s="6">
        <v>34.317950000000003</v>
      </c>
      <c r="I133" s="6">
        <v>-95.881479999999996</v>
      </c>
      <c r="J133" s="4">
        <v>577</v>
      </c>
      <c r="K133" s="5">
        <v>3709</v>
      </c>
      <c r="L133" s="5">
        <v>100146</v>
      </c>
      <c r="M133" s="4">
        <v>80.3</v>
      </c>
      <c r="N133" s="4">
        <f t="shared" si="2"/>
        <v>31.546798990502431</v>
      </c>
      <c r="O133" s="4">
        <v>103.5</v>
      </c>
      <c r="P133" s="1" t="s">
        <v>291</v>
      </c>
      <c r="Q133" s="1">
        <v>17</v>
      </c>
      <c r="R133" s="1">
        <v>600</v>
      </c>
      <c r="S133" s="1" t="s">
        <v>489</v>
      </c>
    </row>
    <row r="134" spans="1:19" s="1" customFormat="1" ht="16.5" customHeight="1" x14ac:dyDescent="0.25">
      <c r="A134" s="1" t="s">
        <v>341</v>
      </c>
      <c r="B134" s="2">
        <v>1953</v>
      </c>
      <c r="C134" s="1" t="s">
        <v>12</v>
      </c>
      <c r="D134" s="1" t="s">
        <v>42</v>
      </c>
      <c r="E134" s="1" t="s">
        <v>43</v>
      </c>
      <c r="F134" s="1" t="str">
        <f>VLOOKUP(E134,Sheet1!$A$1:$B$83,2)</f>
        <v>Boston Mountains</v>
      </c>
      <c r="G134" s="1" t="s">
        <v>251</v>
      </c>
      <c r="H134" s="6">
        <v>35.600790000000003</v>
      </c>
      <c r="I134" s="6">
        <v>-95.034520000000001</v>
      </c>
      <c r="J134" s="4">
        <v>632</v>
      </c>
      <c r="K134" s="5">
        <v>12900</v>
      </c>
      <c r="L134" s="5">
        <v>654100</v>
      </c>
      <c r="M134" s="4">
        <v>170</v>
      </c>
      <c r="N134" s="4">
        <f t="shared" si="2"/>
        <v>40.44695870569732</v>
      </c>
      <c r="O134" s="4">
        <v>132.69999999999999</v>
      </c>
      <c r="P134" s="1" t="s">
        <v>291</v>
      </c>
      <c r="Q134" s="1">
        <v>16</v>
      </c>
      <c r="R134" s="1">
        <v>690</v>
      </c>
      <c r="S134" s="1" t="s">
        <v>489</v>
      </c>
    </row>
    <row r="135" spans="1:19" s="1" customFormat="1" ht="16.5" customHeight="1" x14ac:dyDescent="0.25">
      <c r="A135" s="1" t="s">
        <v>123</v>
      </c>
      <c r="B135" s="2">
        <v>1940</v>
      </c>
      <c r="C135" s="1" t="s">
        <v>142</v>
      </c>
      <c r="D135" s="1" t="s">
        <v>123</v>
      </c>
      <c r="E135" s="1" t="s">
        <v>143</v>
      </c>
      <c r="F135" s="1" t="s">
        <v>466</v>
      </c>
      <c r="G135" s="1" t="s">
        <v>133</v>
      </c>
      <c r="H135" s="6">
        <v>36.468130000000002</v>
      </c>
      <c r="I135" s="6">
        <v>-95.042619999999999</v>
      </c>
      <c r="J135" s="4">
        <v>745</v>
      </c>
      <c r="K135" s="5">
        <v>41749</v>
      </c>
      <c r="L135" s="5">
        <v>1515414</v>
      </c>
      <c r="M135" s="4">
        <v>460</v>
      </c>
      <c r="N135" s="4">
        <f t="shared" si="2"/>
        <v>40.538398702771239</v>
      </c>
      <c r="O135" s="4">
        <v>133</v>
      </c>
      <c r="P135" s="1" t="s">
        <v>291</v>
      </c>
      <c r="Q135" s="1">
        <v>24</v>
      </c>
      <c r="R135" s="1">
        <v>780</v>
      </c>
      <c r="S135" s="1" t="s">
        <v>489</v>
      </c>
    </row>
    <row r="136" spans="1:19" s="1" customFormat="1" ht="16.5" customHeight="1" x14ac:dyDescent="0.25">
      <c r="A136" s="1" t="s">
        <v>340</v>
      </c>
      <c r="B136" s="2">
        <v>1944</v>
      </c>
      <c r="C136" s="1" t="s">
        <v>12</v>
      </c>
      <c r="D136" s="1" t="s">
        <v>9</v>
      </c>
      <c r="E136" s="1" t="s">
        <v>107</v>
      </c>
      <c r="F136" s="1" t="s">
        <v>443</v>
      </c>
      <c r="G136" s="1" t="s">
        <v>252</v>
      </c>
      <c r="H136" s="6">
        <v>33.99933</v>
      </c>
      <c r="I136" s="6">
        <v>-96.572569999999999</v>
      </c>
      <c r="J136" s="4">
        <v>616</v>
      </c>
      <c r="K136" s="5">
        <v>88000</v>
      </c>
      <c r="L136" s="5">
        <v>2722000</v>
      </c>
      <c r="M136" s="4">
        <v>592.70000000000005</v>
      </c>
      <c r="N136" s="4">
        <f t="shared" si="2"/>
        <v>43.281598614988845</v>
      </c>
      <c r="O136" s="4">
        <v>142</v>
      </c>
      <c r="P136" s="1" t="s">
        <v>291</v>
      </c>
      <c r="Q136" s="1">
        <v>21</v>
      </c>
      <c r="R136" s="1">
        <v>760</v>
      </c>
      <c r="S136" s="1" t="s">
        <v>489</v>
      </c>
    </row>
    <row r="137" spans="1:19" s="1" customFormat="1" ht="16.5" customHeight="1" x14ac:dyDescent="0.25">
      <c r="A137" s="1" t="s">
        <v>310</v>
      </c>
      <c r="B137" s="2">
        <v>1970</v>
      </c>
      <c r="C137" s="1" t="s">
        <v>12</v>
      </c>
      <c r="D137" s="1" t="s">
        <v>38</v>
      </c>
      <c r="E137" s="1" t="s">
        <v>39</v>
      </c>
      <c r="F137" s="1" t="str">
        <f>VLOOKUP(E137,Sheet1!$A$1:$B$83,2)</f>
        <v>Ouachita Mountains</v>
      </c>
      <c r="G137" s="1" t="s">
        <v>40</v>
      </c>
      <c r="H137" s="6">
        <v>34.174329999999998</v>
      </c>
      <c r="I137" s="6">
        <v>-94.723690000000005</v>
      </c>
      <c r="J137" s="4">
        <v>599</v>
      </c>
      <c r="K137" s="5">
        <v>14200</v>
      </c>
      <c r="L137" s="5">
        <v>918070</v>
      </c>
      <c r="M137" s="4">
        <v>220.1</v>
      </c>
      <c r="N137" s="4">
        <f t="shared" si="2"/>
        <v>51.511198351641653</v>
      </c>
      <c r="O137" s="4">
        <v>169</v>
      </c>
      <c r="P137" s="1" t="s">
        <v>286</v>
      </c>
      <c r="Q137" s="1">
        <v>17</v>
      </c>
      <c r="R137" s="1">
        <v>600</v>
      </c>
      <c r="S137" s="1" t="s">
        <v>489</v>
      </c>
    </row>
    <row r="138" spans="1:19" s="1" customFormat="1" ht="16.5" customHeight="1" x14ac:dyDescent="0.25">
      <c r="A138" s="1" t="s">
        <v>335</v>
      </c>
      <c r="B138" s="2">
        <v>1968</v>
      </c>
      <c r="C138" s="1" t="s">
        <v>142</v>
      </c>
      <c r="D138" s="1" t="s">
        <v>123</v>
      </c>
      <c r="E138" s="1" t="s">
        <v>143</v>
      </c>
      <c r="F138" s="1" t="s">
        <v>466</v>
      </c>
      <c r="G138" s="1" t="s">
        <v>258</v>
      </c>
      <c r="H138" s="6">
        <v>36.25656</v>
      </c>
      <c r="I138" s="6">
        <v>-95.097359999999995</v>
      </c>
      <c r="J138" s="4">
        <v>865</v>
      </c>
      <c r="K138" s="4">
        <v>758</v>
      </c>
      <c r="L138" s="5">
        <v>50372</v>
      </c>
      <c r="M138" s="4">
        <v>22.7</v>
      </c>
      <c r="N138" s="4">
        <f t="shared" si="2"/>
        <v>55.595518220943418</v>
      </c>
      <c r="O138" s="4">
        <v>182.4</v>
      </c>
      <c r="P138" s="1" t="s">
        <v>283</v>
      </c>
      <c r="Q138" s="1">
        <v>24</v>
      </c>
      <c r="R138" s="1">
        <v>780</v>
      </c>
      <c r="S138" s="1" t="s">
        <v>489</v>
      </c>
    </row>
    <row r="139" spans="1:19" s="1" customFormat="1" ht="16.5" customHeight="1" x14ac:dyDescent="0.25">
      <c r="A139" s="1" t="s">
        <v>363</v>
      </c>
      <c r="B139" s="2">
        <v>1936</v>
      </c>
      <c r="C139" s="1" t="s">
        <v>120</v>
      </c>
      <c r="D139" s="1" t="s">
        <v>95</v>
      </c>
      <c r="E139" s="1" t="s">
        <v>116</v>
      </c>
      <c r="F139" s="1" t="s">
        <v>439</v>
      </c>
      <c r="G139" s="1" t="s">
        <v>226</v>
      </c>
      <c r="H139" s="6">
        <v>34.716070000000002</v>
      </c>
      <c r="I139" s="6">
        <v>-98.638909999999996</v>
      </c>
      <c r="J139" s="5">
        <v>1482</v>
      </c>
      <c r="K139" s="4">
        <v>89</v>
      </c>
      <c r="L139" s="4">
        <v>905</v>
      </c>
      <c r="M139" s="4">
        <v>3.4</v>
      </c>
      <c r="N139" s="4" t="e">
        <f t="shared" si="2"/>
        <v>#VALUE!</v>
      </c>
      <c r="O139" s="4" t="s">
        <v>282</v>
      </c>
      <c r="P139" s="1" t="s">
        <v>290</v>
      </c>
      <c r="Q139" s="1">
        <v>38</v>
      </c>
      <c r="R139" s="1">
        <v>1000</v>
      </c>
      <c r="S139" s="1" t="s">
        <v>489</v>
      </c>
    </row>
    <row r="140" spans="1:19" s="1" customFormat="1" ht="16.5" customHeight="1" x14ac:dyDescent="0.25">
      <c r="A140" s="1" t="s">
        <v>300</v>
      </c>
      <c r="B140" s="2">
        <v>1940</v>
      </c>
      <c r="C140" s="1" t="s">
        <v>0</v>
      </c>
      <c r="D140" s="1" t="s">
        <v>1</v>
      </c>
      <c r="E140" s="1" t="s">
        <v>2</v>
      </c>
      <c r="F140" s="1" t="s">
        <v>439</v>
      </c>
      <c r="G140" s="1" t="s">
        <v>3</v>
      </c>
      <c r="H140" s="6">
        <v>34.658029999999997</v>
      </c>
      <c r="I140" s="6">
        <v>-99.321209999999994</v>
      </c>
      <c r="J140" s="5">
        <v>1394</v>
      </c>
      <c r="K140" s="4">
        <v>140</v>
      </c>
      <c r="L140" s="5">
        <v>2500</v>
      </c>
      <c r="M140" s="4">
        <v>2.8</v>
      </c>
      <c r="N140" s="4" t="e">
        <f t="shared" si="2"/>
        <v>#VALUE!</v>
      </c>
      <c r="O140" s="4" t="s">
        <v>282</v>
      </c>
      <c r="P140" s="1" t="s">
        <v>283</v>
      </c>
      <c r="Q140" s="1">
        <v>38</v>
      </c>
      <c r="R140" s="1">
        <v>1000</v>
      </c>
      <c r="S140" s="1" t="s">
        <v>489</v>
      </c>
    </row>
    <row r="141" spans="1:19" s="1" customFormat="1" ht="16.5" customHeight="1" x14ac:dyDescent="0.25">
      <c r="A141" s="1" t="s">
        <v>368</v>
      </c>
      <c r="B141" s="2">
        <v>1935</v>
      </c>
      <c r="C141" s="1" t="s">
        <v>215</v>
      </c>
      <c r="D141" s="1" t="s">
        <v>35</v>
      </c>
      <c r="E141" s="1" t="s">
        <v>195</v>
      </c>
      <c r="F141" s="1" t="str">
        <f>VLOOKUP(E141,Sheet1!$A$1:$B$83,2)</f>
        <v>Central Great Plains</v>
      </c>
      <c r="G141" s="1" t="s">
        <v>217</v>
      </c>
      <c r="H141" s="6">
        <v>36.267040000000001</v>
      </c>
      <c r="I141" s="6">
        <v>-97.278300000000002</v>
      </c>
      <c r="J141" s="4" t="s">
        <v>282</v>
      </c>
      <c r="K141" s="4">
        <v>29</v>
      </c>
      <c r="L141" s="4" t="s">
        <v>282</v>
      </c>
      <c r="M141" s="4">
        <v>1.7</v>
      </c>
      <c r="N141" s="4" t="e">
        <f t="shared" si="2"/>
        <v>#VALUE!</v>
      </c>
      <c r="O141" s="4" t="s">
        <v>282</v>
      </c>
      <c r="P141" s="1" t="s">
        <v>291</v>
      </c>
      <c r="Q141" s="1">
        <v>38</v>
      </c>
      <c r="R141" s="1">
        <v>1000</v>
      </c>
      <c r="S141" s="1" t="s">
        <v>489</v>
      </c>
    </row>
    <row r="142" spans="1:19" s="1" customFormat="1" ht="16.5" customHeight="1" x14ac:dyDescent="0.25">
      <c r="A142" s="1" t="s">
        <v>323</v>
      </c>
      <c r="B142" s="2">
        <v>1948</v>
      </c>
      <c r="C142" s="1" t="s">
        <v>122</v>
      </c>
      <c r="D142" s="1" t="s">
        <v>26</v>
      </c>
      <c r="E142" s="1" t="s">
        <v>177</v>
      </c>
      <c r="F142" s="1" t="s">
        <v>466</v>
      </c>
      <c r="G142" s="1" t="s">
        <v>274</v>
      </c>
      <c r="H142" s="6">
        <v>36.214660000000002</v>
      </c>
      <c r="I142" s="6">
        <v>-95.927779999999998</v>
      </c>
      <c r="J142" s="4">
        <v>609</v>
      </c>
      <c r="K142" s="4">
        <v>431</v>
      </c>
      <c r="L142" s="5">
        <v>6445</v>
      </c>
      <c r="M142" s="4">
        <v>3.3</v>
      </c>
      <c r="N142" s="4" t="e">
        <f t="shared" si="2"/>
        <v>#VALUE!</v>
      </c>
      <c r="O142" s="4" t="s">
        <v>282</v>
      </c>
      <c r="Q142" s="1">
        <v>24</v>
      </c>
      <c r="R142" s="1">
        <v>780</v>
      </c>
      <c r="S142" s="1" t="s">
        <v>489</v>
      </c>
    </row>
    <row r="143" spans="1:19" s="1" customFormat="1" ht="16.5" customHeight="1" x14ac:dyDescent="0.25">
      <c r="A143" s="1" t="s">
        <v>336</v>
      </c>
      <c r="B143" s="2">
        <v>1950</v>
      </c>
      <c r="C143" s="1" t="s">
        <v>256</v>
      </c>
      <c r="D143" s="1" t="s">
        <v>9</v>
      </c>
      <c r="E143" s="1" t="s">
        <v>10</v>
      </c>
      <c r="F143" s="1" t="str">
        <f>VLOOKUP(E143,Sheet1!$A$1:$B$83,2)</f>
        <v>Cross Timbers</v>
      </c>
      <c r="G143" s="1" t="s">
        <v>257</v>
      </c>
      <c r="H143" s="6">
        <v>34.492130000000003</v>
      </c>
      <c r="I143" s="6">
        <v>-96.987480000000005</v>
      </c>
      <c r="J143" s="4">
        <v>965</v>
      </c>
      <c r="K143" s="4">
        <v>64</v>
      </c>
      <c r="L143" s="4">
        <v>600</v>
      </c>
      <c r="M143" s="4">
        <v>2.7</v>
      </c>
      <c r="N143" s="4" t="e">
        <f t="shared" si="2"/>
        <v>#VALUE!</v>
      </c>
      <c r="O143" s="4" t="s">
        <v>282</v>
      </c>
      <c r="P143" s="1" t="s">
        <v>290</v>
      </c>
      <c r="Q143" s="1">
        <v>21</v>
      </c>
      <c r="R143" s="1">
        <v>760</v>
      </c>
      <c r="S143" s="1" t="s">
        <v>489</v>
      </c>
    </row>
    <row r="144" spans="1:19" s="1" customFormat="1" ht="16.5" customHeight="1" x14ac:dyDescent="0.25">
      <c r="A144" s="1" t="s">
        <v>329</v>
      </c>
      <c r="B144" s="2">
        <v>1923</v>
      </c>
      <c r="C144" s="1" t="s">
        <v>264</v>
      </c>
      <c r="D144" s="1" t="s">
        <v>102</v>
      </c>
      <c r="E144" s="1" t="s">
        <v>206</v>
      </c>
      <c r="F144" s="1" t="str">
        <f>VLOOKUP(E144,Sheet1!$A$1:$B$83,2)</f>
        <v>Cross Timbers</v>
      </c>
      <c r="G144" s="1" t="s">
        <v>265</v>
      </c>
      <c r="H144" s="6">
        <v>35.334330000000001</v>
      </c>
      <c r="I144" s="6">
        <v>-96.167100000000005</v>
      </c>
      <c r="J144" s="4">
        <v>743</v>
      </c>
      <c r="K144" s="4">
        <v>59</v>
      </c>
      <c r="L144" s="4">
        <v>385</v>
      </c>
      <c r="M144" s="4">
        <v>2</v>
      </c>
      <c r="N144" s="4" t="e">
        <f t="shared" si="2"/>
        <v>#VALUE!</v>
      </c>
      <c r="O144" s="4" t="s">
        <v>282</v>
      </c>
      <c r="P144" s="1" t="s">
        <v>291</v>
      </c>
      <c r="Q144" s="1">
        <v>21</v>
      </c>
      <c r="R144" s="1">
        <v>760</v>
      </c>
      <c r="S144" s="1" t="s">
        <v>489</v>
      </c>
    </row>
    <row r="145" spans="1:19" s="1" customFormat="1" ht="16.5" customHeight="1" x14ac:dyDescent="0.25">
      <c r="A145" s="1" t="s">
        <v>352</v>
      </c>
      <c r="B145" s="2">
        <v>1984</v>
      </c>
      <c r="C145" s="1" t="s">
        <v>12</v>
      </c>
      <c r="D145" s="1" t="s">
        <v>26</v>
      </c>
      <c r="E145" s="1" t="s">
        <v>27</v>
      </c>
      <c r="F145" s="1" t="str">
        <f>VLOOKUP(E145,Sheet1!$A$1:$B$83,2)</f>
        <v>Cross Timbers</v>
      </c>
      <c r="G145" s="1" t="s">
        <v>237</v>
      </c>
      <c r="H145" s="6">
        <v>36.353940000000001</v>
      </c>
      <c r="I145" s="6">
        <v>-96.104619999999997</v>
      </c>
      <c r="J145" s="4">
        <v>714</v>
      </c>
      <c r="K145" s="5">
        <v>10190</v>
      </c>
      <c r="L145" s="5">
        <v>322700</v>
      </c>
      <c r="M145" s="4">
        <v>187</v>
      </c>
      <c r="N145" s="4" t="e">
        <f t="shared" si="2"/>
        <v>#VALUE!</v>
      </c>
      <c r="O145" s="4" t="s">
        <v>282</v>
      </c>
      <c r="P145" s="1" t="s">
        <v>290</v>
      </c>
      <c r="Q145" s="1">
        <v>21</v>
      </c>
      <c r="R145" s="1">
        <v>760</v>
      </c>
      <c r="S145" s="1" t="s">
        <v>489</v>
      </c>
    </row>
    <row r="146" spans="1:19" s="1" customFormat="1" ht="16.5" customHeight="1" x14ac:dyDescent="0.25">
      <c r="A146" s="1" t="s">
        <v>316</v>
      </c>
      <c r="B146" s="2">
        <v>1938</v>
      </c>
      <c r="C146" s="1" t="s">
        <v>55</v>
      </c>
      <c r="D146" s="1" t="s">
        <v>42</v>
      </c>
      <c r="E146" s="1" t="s">
        <v>50</v>
      </c>
      <c r="F146" s="1" t="str">
        <f>VLOOKUP(E146,Sheet1!$A$1:$B$83,2)</f>
        <v>Ouachita Mountains</v>
      </c>
      <c r="G146" s="1" t="s">
        <v>56</v>
      </c>
      <c r="H146" s="6">
        <v>34.979759999999999</v>
      </c>
      <c r="I146" s="6">
        <v>-95.360609999999994</v>
      </c>
      <c r="J146" s="4">
        <v>714</v>
      </c>
      <c r="K146" s="4">
        <v>46</v>
      </c>
      <c r="L146" s="4">
        <v>552</v>
      </c>
      <c r="M146" s="4">
        <v>1.7</v>
      </c>
      <c r="N146" s="4" t="e">
        <f t="shared" si="2"/>
        <v>#VALUE!</v>
      </c>
      <c r="O146" s="4" t="s">
        <v>282</v>
      </c>
      <c r="P146" s="1" t="s">
        <v>283</v>
      </c>
      <c r="Q146" s="1">
        <v>17</v>
      </c>
      <c r="R146" s="1">
        <v>600</v>
      </c>
      <c r="S146" s="1" t="s">
        <v>489</v>
      </c>
    </row>
    <row r="147" spans="1:19" s="1" customFormat="1" ht="16.5" customHeight="1" x14ac:dyDescent="0.25">
      <c r="A147" s="1" t="s">
        <v>321</v>
      </c>
      <c r="B147" s="2">
        <v>1935</v>
      </c>
      <c r="C147" s="1" t="s">
        <v>55</v>
      </c>
      <c r="D147" s="1" t="s">
        <v>38</v>
      </c>
      <c r="E147" s="1" t="s">
        <v>70</v>
      </c>
      <c r="F147" s="1" t="s">
        <v>459</v>
      </c>
      <c r="G147" s="1" t="s">
        <v>71</v>
      </c>
      <c r="H147" s="6">
        <v>34.540199999999999</v>
      </c>
      <c r="I147" s="6">
        <v>-95.307689999999994</v>
      </c>
      <c r="J147" s="4">
        <v>664</v>
      </c>
      <c r="K147" s="4">
        <v>66</v>
      </c>
      <c r="L147" s="4">
        <v>953</v>
      </c>
      <c r="M147" s="4">
        <v>2.2000000000000002</v>
      </c>
      <c r="N147" s="4" t="e">
        <f t="shared" si="2"/>
        <v>#VALUE!</v>
      </c>
      <c r="O147" s="4" t="s">
        <v>282</v>
      </c>
      <c r="P147" s="1" t="s">
        <v>286</v>
      </c>
      <c r="Q147" s="1">
        <v>17</v>
      </c>
      <c r="R147" s="1">
        <v>600</v>
      </c>
      <c r="S147" s="1" t="s">
        <v>489</v>
      </c>
    </row>
    <row r="148" spans="1:19" s="1" customFormat="1" ht="16.5" customHeight="1" x14ac:dyDescent="0.25">
      <c r="A148" s="1" t="s">
        <v>412</v>
      </c>
      <c r="B148" s="2">
        <v>1959</v>
      </c>
      <c r="C148" s="1" t="s">
        <v>98</v>
      </c>
      <c r="D148" s="1" t="s">
        <v>5</v>
      </c>
      <c r="E148" s="1" t="s">
        <v>99</v>
      </c>
      <c r="F148" s="1" t="s">
        <v>448</v>
      </c>
      <c r="G148" s="1" t="s">
        <v>100</v>
      </c>
      <c r="H148" s="6">
        <v>35.747549999999997</v>
      </c>
      <c r="I148" s="6">
        <v>-99.714960000000005</v>
      </c>
      <c r="J148" s="5">
        <v>2089</v>
      </c>
      <c r="K148" s="4">
        <v>79</v>
      </c>
      <c r="L148" s="4">
        <v>977</v>
      </c>
      <c r="M148" s="4">
        <v>2.8</v>
      </c>
      <c r="N148" s="4" t="e">
        <f t="shared" si="2"/>
        <v>#VALUE!</v>
      </c>
      <c r="O148" s="4" t="s">
        <v>282</v>
      </c>
      <c r="P148" s="1" t="s">
        <v>283</v>
      </c>
      <c r="Q148" s="1">
        <v>22</v>
      </c>
      <c r="R148" s="1">
        <v>770</v>
      </c>
      <c r="S148" s="1" t="s">
        <v>489</v>
      </c>
    </row>
    <row r="151" spans="1:19" x14ac:dyDescent="0.25">
      <c r="Q151" s="10"/>
    </row>
  </sheetData>
  <autoFilter ref="A1:R148" xr:uid="{00000000-0001-0000-0000-000000000000}">
    <sortState xmlns:xlrd2="http://schemas.microsoft.com/office/spreadsheetml/2017/richdata2" ref="A2:R148">
      <sortCondition ref="O2:O148"/>
    </sortState>
  </autoFilter>
  <sortState xmlns:xlrd2="http://schemas.microsoft.com/office/spreadsheetml/2017/richdata2" ref="A2:Q148">
    <sortCondition ref="F2:F14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C8D9-3A2B-46E4-B6FA-6DB6B80D653D}">
  <sheetPr filterMode="1"/>
  <dimension ref="A1:B78"/>
  <sheetViews>
    <sheetView workbookViewId="0">
      <selection activeCell="A2" sqref="A2:A74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482</v>
      </c>
      <c r="B1" t="s">
        <v>483</v>
      </c>
    </row>
    <row r="2" spans="1:2" x14ac:dyDescent="0.25">
      <c r="A2" t="s">
        <v>243</v>
      </c>
      <c r="B2">
        <f>MATCH(A2,Sheet1!A:A,0)</f>
        <v>2</v>
      </c>
    </row>
    <row r="3" spans="1:2" x14ac:dyDescent="0.25">
      <c r="A3" t="s">
        <v>144</v>
      </c>
      <c r="B3">
        <f>MATCH(A3,Sheet1!A:A,0)</f>
        <v>3</v>
      </c>
    </row>
    <row r="4" spans="1:2" x14ac:dyDescent="0.25">
      <c r="A4" t="s">
        <v>21</v>
      </c>
      <c r="B4">
        <f>MATCH(A4,Sheet1!A:A,0)</f>
        <v>4</v>
      </c>
    </row>
    <row r="5" spans="1:2" x14ac:dyDescent="0.25">
      <c r="A5" t="s">
        <v>128</v>
      </c>
      <c r="B5">
        <f>MATCH(A5,Sheet1!A:A,0)</f>
        <v>5</v>
      </c>
    </row>
    <row r="6" spans="1:2" hidden="1" x14ac:dyDescent="0.25">
      <c r="A6" t="s">
        <v>113</v>
      </c>
      <c r="B6">
        <f>MATCH(A6,Sheet1!A:A,0)</f>
        <v>6</v>
      </c>
    </row>
    <row r="7" spans="1:2" x14ac:dyDescent="0.25">
      <c r="A7" t="s">
        <v>6</v>
      </c>
      <c r="B7">
        <f>MATCH(A7,Sheet1!A:A,0)</f>
        <v>7</v>
      </c>
    </row>
    <row r="8" spans="1:2" x14ac:dyDescent="0.25">
      <c r="A8" t="s">
        <v>107</v>
      </c>
      <c r="B8">
        <f>MATCH(A8,Sheet1!A:A,0)</f>
        <v>8</v>
      </c>
    </row>
    <row r="9" spans="1:2" hidden="1" x14ac:dyDescent="0.25">
      <c r="A9" t="s">
        <v>65</v>
      </c>
      <c r="B9">
        <f>MATCH(A9,Sheet1!A:A,0)</f>
        <v>9</v>
      </c>
    </row>
    <row r="10" spans="1:2" hidden="1" x14ac:dyDescent="0.25">
      <c r="A10" t="s">
        <v>110</v>
      </c>
      <c r="B10">
        <f>MATCH(A10,Sheet1!A:A,0)</f>
        <v>10</v>
      </c>
    </row>
    <row r="11" spans="1:2" hidden="1" x14ac:dyDescent="0.25">
      <c r="A11" t="s">
        <v>17</v>
      </c>
      <c r="B11">
        <f>MATCH(A11,Sheet1!A:A,0)</f>
        <v>11</v>
      </c>
    </row>
    <row r="12" spans="1:2" hidden="1" x14ac:dyDescent="0.25">
      <c r="A12" t="s">
        <v>132</v>
      </c>
      <c r="B12">
        <f>MATCH(A12,Sheet1!A:A,0)</f>
        <v>12</v>
      </c>
    </row>
    <row r="13" spans="1:2" x14ac:dyDescent="0.25">
      <c r="A13" t="s">
        <v>166</v>
      </c>
      <c r="B13">
        <f>MATCH(A13,Sheet1!A:A,0)</f>
        <v>13</v>
      </c>
    </row>
    <row r="14" spans="1:2" hidden="1" x14ac:dyDescent="0.25">
      <c r="A14" t="s">
        <v>53</v>
      </c>
      <c r="B14">
        <f>MATCH(A14,Sheet1!A:A,0)</f>
        <v>14</v>
      </c>
    </row>
    <row r="15" spans="1:2" x14ac:dyDescent="0.25">
      <c r="A15" t="s">
        <v>92</v>
      </c>
      <c r="B15">
        <f>MATCH(A15,Sheet1!A:A,0)</f>
        <v>15</v>
      </c>
    </row>
    <row r="16" spans="1:2" hidden="1" x14ac:dyDescent="0.25">
      <c r="A16" t="s">
        <v>82</v>
      </c>
      <c r="B16">
        <f>MATCH(A16,Sheet1!A:A,0)</f>
        <v>16</v>
      </c>
    </row>
    <row r="17" spans="1:2" x14ac:dyDescent="0.25">
      <c r="A17" t="s">
        <v>116</v>
      </c>
      <c r="B17">
        <f>MATCH(A17,Sheet1!A:A,0)</f>
        <v>18</v>
      </c>
    </row>
    <row r="18" spans="1:2" hidden="1" x14ac:dyDescent="0.25">
      <c r="A18" t="s">
        <v>96</v>
      </c>
      <c r="B18">
        <f>MATCH(A18,Sheet1!A:A,0)</f>
        <v>19</v>
      </c>
    </row>
    <row r="19" spans="1:2" x14ac:dyDescent="0.25">
      <c r="A19" t="s">
        <v>480</v>
      </c>
      <c r="B19">
        <f>MATCH(A19,Sheet1!A:A,0)</f>
        <v>20</v>
      </c>
    </row>
    <row r="20" spans="1:2" hidden="1" x14ac:dyDescent="0.25">
      <c r="A20" t="s">
        <v>156</v>
      </c>
      <c r="B20">
        <f>MATCH(A20,Sheet1!A:A,0)</f>
        <v>21</v>
      </c>
    </row>
    <row r="21" spans="1:2" x14ac:dyDescent="0.25">
      <c r="A21" t="s">
        <v>136</v>
      </c>
      <c r="B21">
        <f>MATCH(A21,Sheet1!A:A,0)</f>
        <v>22</v>
      </c>
    </row>
    <row r="22" spans="1:2" x14ac:dyDescent="0.25">
      <c r="A22" t="s">
        <v>124</v>
      </c>
      <c r="B22">
        <f>MATCH(A22,Sheet1!A:A,0)</f>
        <v>23</v>
      </c>
    </row>
    <row r="23" spans="1:2" hidden="1" x14ac:dyDescent="0.25">
      <c r="A23" t="s">
        <v>454</v>
      </c>
      <c r="B23">
        <f>MATCH(A23,Sheet1!A:A,0)</f>
        <v>24</v>
      </c>
    </row>
    <row r="24" spans="1:2" hidden="1" x14ac:dyDescent="0.25">
      <c r="A24" t="s">
        <v>186</v>
      </c>
      <c r="B24">
        <f>MATCH(A24,Sheet1!A:A,0)</f>
        <v>25</v>
      </c>
    </row>
    <row r="25" spans="1:2" x14ac:dyDescent="0.25">
      <c r="A25" t="s">
        <v>479</v>
      </c>
      <c r="B25">
        <f>MATCH(A25,Sheet1!A:A,0)</f>
        <v>26</v>
      </c>
    </row>
    <row r="26" spans="1:2" x14ac:dyDescent="0.25">
      <c r="A26" t="s">
        <v>210</v>
      </c>
      <c r="B26">
        <f>MATCH(A26,Sheet1!A:A,0)</f>
        <v>27</v>
      </c>
    </row>
    <row r="27" spans="1:2" hidden="1" x14ac:dyDescent="0.25">
      <c r="A27" t="s">
        <v>45</v>
      </c>
      <c r="B27">
        <f>MATCH(A27,Sheet1!A:A,0)</f>
        <v>28</v>
      </c>
    </row>
    <row r="28" spans="1:2" x14ac:dyDescent="0.25">
      <c r="A28" t="s">
        <v>478</v>
      </c>
      <c r="B28">
        <f>MATCH(A28,Sheet1!A:A,0)</f>
        <v>29</v>
      </c>
    </row>
    <row r="29" spans="1:2" x14ac:dyDescent="0.25">
      <c r="A29" t="s">
        <v>189</v>
      </c>
      <c r="B29">
        <f>MATCH(A29,Sheet1!A:A,0)</f>
        <v>30</v>
      </c>
    </row>
    <row r="30" spans="1:2" hidden="1" x14ac:dyDescent="0.25">
      <c r="A30" t="s">
        <v>151</v>
      </c>
      <c r="B30">
        <f>MATCH(A30,Sheet1!A:A,0)</f>
        <v>31</v>
      </c>
    </row>
    <row r="31" spans="1:2" x14ac:dyDescent="0.25">
      <c r="A31" t="s">
        <v>477</v>
      </c>
      <c r="B31">
        <f>MATCH(A31,Sheet1!A:A,0)</f>
        <v>32</v>
      </c>
    </row>
    <row r="32" spans="1:2" x14ac:dyDescent="0.25">
      <c r="A32" t="s">
        <v>174</v>
      </c>
      <c r="B32">
        <f>MATCH(A32,Sheet1!A:A,0)</f>
        <v>33</v>
      </c>
    </row>
    <row r="33" spans="1:2" hidden="1" x14ac:dyDescent="0.25">
      <c r="A33" t="s">
        <v>161</v>
      </c>
      <c r="B33">
        <f>MATCH(A33,Sheet1!A:A,0)</f>
        <v>34</v>
      </c>
    </row>
    <row r="34" spans="1:2" x14ac:dyDescent="0.25">
      <c r="A34" t="s">
        <v>2</v>
      </c>
      <c r="B34">
        <f>MATCH(A34,Sheet1!A:A,0)</f>
        <v>35</v>
      </c>
    </row>
    <row r="35" spans="1:2" x14ac:dyDescent="0.25">
      <c r="A35" t="s">
        <v>170</v>
      </c>
      <c r="B35">
        <f>MATCH(A35,Sheet1!A:A,0)</f>
        <v>36</v>
      </c>
    </row>
    <row r="36" spans="1:2" x14ac:dyDescent="0.25">
      <c r="A36" t="s">
        <v>476</v>
      </c>
      <c r="B36">
        <f>MATCH(A36,Sheet1!A:A,0)</f>
        <v>37</v>
      </c>
    </row>
    <row r="37" spans="1:2" hidden="1" x14ac:dyDescent="0.25">
      <c r="A37" t="s">
        <v>220</v>
      </c>
      <c r="B37">
        <f>MATCH(A37,Sheet1!A:A,0)</f>
        <v>38</v>
      </c>
    </row>
    <row r="38" spans="1:2" x14ac:dyDescent="0.25">
      <c r="A38" t="s">
        <v>118</v>
      </c>
      <c r="B38">
        <f>MATCH(A38,Sheet1!A:A,0)</f>
        <v>40</v>
      </c>
    </row>
    <row r="39" spans="1:2" hidden="1" x14ac:dyDescent="0.25">
      <c r="A39" t="s">
        <v>253</v>
      </c>
      <c r="B39">
        <f>MATCH(A39,Sheet1!A:A,0)</f>
        <v>41</v>
      </c>
    </row>
    <row r="40" spans="1:2" hidden="1" x14ac:dyDescent="0.25">
      <c r="A40" t="s">
        <v>50</v>
      </c>
      <c r="B40">
        <f>MATCH(A40,Sheet1!A:A,0)</f>
        <v>42</v>
      </c>
    </row>
    <row r="41" spans="1:2" hidden="1" x14ac:dyDescent="0.25">
      <c r="A41" t="s">
        <v>461</v>
      </c>
      <c r="B41">
        <f>MATCH(A41,Sheet1!A:A,0)</f>
        <v>43</v>
      </c>
    </row>
    <row r="42" spans="1:2" x14ac:dyDescent="0.25">
      <c r="A42" t="s">
        <v>24</v>
      </c>
      <c r="B42">
        <f>MATCH(A42,Sheet1!A:A,0)</f>
        <v>44</v>
      </c>
    </row>
    <row r="43" spans="1:2" hidden="1" x14ac:dyDescent="0.25">
      <c r="A43" t="s">
        <v>149</v>
      </c>
      <c r="B43">
        <f>MATCH(A43,Sheet1!A:A,0)</f>
        <v>45</v>
      </c>
    </row>
    <row r="44" spans="1:2" x14ac:dyDescent="0.25">
      <c r="A44" t="s">
        <v>200</v>
      </c>
      <c r="B44">
        <f>MATCH(A44,Sheet1!A:A,0)</f>
        <v>46</v>
      </c>
    </row>
    <row r="45" spans="1:2" x14ac:dyDescent="0.25">
      <c r="A45" t="s">
        <v>475</v>
      </c>
      <c r="B45">
        <f>MATCH(A45,Sheet1!A:A,0)</f>
        <v>47</v>
      </c>
    </row>
    <row r="46" spans="1:2" x14ac:dyDescent="0.25">
      <c r="A46" t="s">
        <v>58</v>
      </c>
      <c r="B46">
        <f>MATCH(A46,Sheet1!A:A,0)</f>
        <v>48</v>
      </c>
    </row>
    <row r="47" spans="1:2" x14ac:dyDescent="0.25">
      <c r="A47" t="s">
        <v>143</v>
      </c>
      <c r="B47">
        <f>MATCH(A47,Sheet1!A:A,0)</f>
        <v>49</v>
      </c>
    </row>
    <row r="48" spans="1:2" hidden="1" x14ac:dyDescent="0.25">
      <c r="A48" t="s">
        <v>224</v>
      </c>
      <c r="B48">
        <f>MATCH(A48,Sheet1!A:A,0)</f>
        <v>50</v>
      </c>
    </row>
    <row r="49" spans="1:2" hidden="1" x14ac:dyDescent="0.25">
      <c r="A49" t="s">
        <v>39</v>
      </c>
      <c r="B49">
        <f>MATCH(A49,Sheet1!A:A,0)</f>
        <v>51</v>
      </c>
    </row>
    <row r="50" spans="1:2" x14ac:dyDescent="0.25">
      <c r="A50" t="s">
        <v>126</v>
      </c>
      <c r="B50">
        <f>MATCH(A50,Sheet1!A:A,0)</f>
        <v>53</v>
      </c>
    </row>
    <row r="51" spans="1:2" hidden="1" x14ac:dyDescent="0.25">
      <c r="A51" t="s">
        <v>10</v>
      </c>
      <c r="B51">
        <f>MATCH(A51,Sheet1!A:A,0)</f>
        <v>54</v>
      </c>
    </row>
    <row r="52" spans="1:2" x14ac:dyDescent="0.25">
      <c r="A52" t="s">
        <v>146</v>
      </c>
      <c r="B52">
        <f>MATCH(A52,Sheet1!A:A,0)</f>
        <v>55</v>
      </c>
    </row>
    <row r="53" spans="1:2" hidden="1" x14ac:dyDescent="0.25">
      <c r="A53" t="s">
        <v>195</v>
      </c>
      <c r="B53">
        <f>MATCH(A53,Sheet1!A:A,0)</f>
        <v>56</v>
      </c>
    </row>
    <row r="54" spans="1:2" x14ac:dyDescent="0.25">
      <c r="A54" t="s">
        <v>474</v>
      </c>
      <c r="B54">
        <f>MATCH(A54,Sheet1!A:A,0)</f>
        <v>57</v>
      </c>
    </row>
    <row r="55" spans="1:2" hidden="1" x14ac:dyDescent="0.25">
      <c r="A55" t="s">
        <v>206</v>
      </c>
      <c r="B55">
        <f>MATCH(A55,Sheet1!A:A,0)</f>
        <v>58</v>
      </c>
    </row>
    <row r="56" spans="1:2" hidden="1" x14ac:dyDescent="0.25">
      <c r="A56" t="s">
        <v>14</v>
      </c>
      <c r="B56">
        <f>MATCH(A56,Sheet1!A:A,0)</f>
        <v>59</v>
      </c>
    </row>
    <row r="57" spans="1:2" x14ac:dyDescent="0.25">
      <c r="A57" t="s">
        <v>103</v>
      </c>
      <c r="B57">
        <f>MATCH(A57,Sheet1!A:A,0)</f>
        <v>60</v>
      </c>
    </row>
    <row r="58" spans="1:2" hidden="1" x14ac:dyDescent="0.25">
      <c r="A58" t="s">
        <v>27</v>
      </c>
      <c r="B58">
        <f>MATCH(A58,Sheet1!A:A,0)</f>
        <v>61</v>
      </c>
    </row>
    <row r="59" spans="1:2" x14ac:dyDescent="0.25">
      <c r="A59" t="s">
        <v>473</v>
      </c>
      <c r="B59">
        <f>MATCH(A59,Sheet1!A:A,0)</f>
        <v>64</v>
      </c>
    </row>
    <row r="60" spans="1:2" hidden="1" x14ac:dyDescent="0.25">
      <c r="A60" t="s">
        <v>76</v>
      </c>
      <c r="B60">
        <f>MATCH(A60,Sheet1!A:A,0)</f>
        <v>65</v>
      </c>
    </row>
    <row r="61" spans="1:2" hidden="1" x14ac:dyDescent="0.25">
      <c r="A61" t="s">
        <v>36</v>
      </c>
      <c r="B61">
        <f>MATCH(A61,Sheet1!A:A,0)</f>
        <v>66</v>
      </c>
    </row>
    <row r="62" spans="1:2" x14ac:dyDescent="0.25">
      <c r="A62" t="s">
        <v>192</v>
      </c>
      <c r="B62">
        <f>MATCH(A62,Sheet1!A:A,0)</f>
        <v>67</v>
      </c>
    </row>
    <row r="63" spans="1:2" hidden="1" x14ac:dyDescent="0.25">
      <c r="A63" t="s">
        <v>465</v>
      </c>
      <c r="B63">
        <f>MATCH(A63,Sheet1!A:A,0)</f>
        <v>68</v>
      </c>
    </row>
    <row r="64" spans="1:2" x14ac:dyDescent="0.25">
      <c r="A64" t="s">
        <v>233</v>
      </c>
      <c r="B64">
        <f>MATCH(A64,Sheet1!A:A,0)</f>
        <v>69</v>
      </c>
    </row>
    <row r="65" spans="1:2" x14ac:dyDescent="0.25">
      <c r="A65" t="s">
        <v>70</v>
      </c>
      <c r="B65">
        <f>MATCH(A65,Sheet1!A:A,0)</f>
        <v>70</v>
      </c>
    </row>
    <row r="66" spans="1:2" x14ac:dyDescent="0.25">
      <c r="A66" t="s">
        <v>99</v>
      </c>
      <c r="B66">
        <f>MATCH(A66,Sheet1!A:A,0)</f>
        <v>71</v>
      </c>
    </row>
    <row r="67" spans="1:2" hidden="1" x14ac:dyDescent="0.25">
      <c r="A67" t="s">
        <v>68</v>
      </c>
      <c r="B67">
        <f>MATCH(A67,Sheet1!A:A,0)</f>
        <v>72</v>
      </c>
    </row>
    <row r="68" spans="1:2" hidden="1" x14ac:dyDescent="0.25">
      <c r="A68" t="s">
        <v>179</v>
      </c>
      <c r="B68">
        <f>MATCH(A68,Sheet1!A:A,0)</f>
        <v>73</v>
      </c>
    </row>
    <row r="69" spans="1:2" hidden="1" x14ac:dyDescent="0.25">
      <c r="A69" t="s">
        <v>43</v>
      </c>
      <c r="B69">
        <f>MATCH(A69,Sheet1!A:A,0)</f>
        <v>74</v>
      </c>
    </row>
    <row r="70" spans="1:2" hidden="1" x14ac:dyDescent="0.25">
      <c r="A70" t="s">
        <v>73</v>
      </c>
      <c r="B70">
        <f>MATCH(A70,Sheet1!A:A,0)</f>
        <v>75</v>
      </c>
    </row>
    <row r="71" spans="1:2" x14ac:dyDescent="0.25">
      <c r="A71" t="s">
        <v>472</v>
      </c>
      <c r="B71">
        <f>MATCH(A71,Sheet1!A:A,0)</f>
        <v>76</v>
      </c>
    </row>
    <row r="72" spans="1:2" hidden="1" x14ac:dyDescent="0.25">
      <c r="A72" t="s">
        <v>139</v>
      </c>
      <c r="B72">
        <f>MATCH(A72,Sheet1!A:A,0)</f>
        <v>77</v>
      </c>
    </row>
    <row r="73" spans="1:2" x14ac:dyDescent="0.25">
      <c r="A73" t="s">
        <v>177</v>
      </c>
      <c r="B73">
        <f>MATCH(A73,Sheet1!A:A,0)</f>
        <v>78</v>
      </c>
    </row>
    <row r="74" spans="1:2" x14ac:dyDescent="0.25">
      <c r="A74" t="s">
        <v>30</v>
      </c>
      <c r="B74">
        <f>MATCH(A74,Sheet1!A:A,0)</f>
        <v>79</v>
      </c>
    </row>
    <row r="75" spans="1:2" hidden="1" x14ac:dyDescent="0.25">
      <c r="A75" t="s">
        <v>86</v>
      </c>
      <c r="B75">
        <f>MATCH(A75,Sheet1!A:A,0)</f>
        <v>80</v>
      </c>
    </row>
    <row r="76" spans="1:2" hidden="1" x14ac:dyDescent="0.25">
      <c r="A76" t="s">
        <v>79</v>
      </c>
      <c r="B76">
        <f>MATCH(A76,Sheet1!A:A,0)</f>
        <v>81</v>
      </c>
    </row>
    <row r="77" spans="1:2" hidden="1" x14ac:dyDescent="0.25">
      <c r="A77" t="s">
        <v>470</v>
      </c>
      <c r="B77">
        <f>MATCH(A77,Sheet1!A:A,0)</f>
        <v>82</v>
      </c>
    </row>
    <row r="78" spans="1:2" hidden="1" x14ac:dyDescent="0.25">
      <c r="A78" t="s">
        <v>134</v>
      </c>
      <c r="B78">
        <f>MATCH(A78,Sheet1!A:A,0)</f>
        <v>83</v>
      </c>
    </row>
  </sheetData>
  <autoFilter ref="A1:B78" xr:uid="{1782C8D9-3A2B-46E4-B6FA-6DB6B80D653D}">
    <filterColumn colId="1">
      <filters>
        <filter val="#N/A"/>
      </filters>
    </filterColumn>
  </autoFilter>
  <sortState xmlns:xlrd2="http://schemas.microsoft.com/office/spreadsheetml/2017/richdata2" ref="A2:A78">
    <sortCondition ref="A2:A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8952-F8CA-4208-B19A-55D1641FD7D3}">
  <dimension ref="A1:D83"/>
  <sheetViews>
    <sheetView topLeftCell="A49" workbookViewId="0">
      <selection activeCell="B44" sqref="B44"/>
    </sheetView>
  </sheetViews>
  <sheetFormatPr defaultRowHeight="15" x14ac:dyDescent="0.25"/>
  <cols>
    <col min="1" max="1" width="10.85546875" bestFit="1" customWidth="1"/>
    <col min="2" max="2" width="22.140625" bestFit="1" customWidth="1"/>
    <col min="3" max="3" width="27.140625" bestFit="1" customWidth="1"/>
  </cols>
  <sheetData>
    <row r="1" spans="1:4" x14ac:dyDescent="0.25">
      <c r="A1" s="11" t="s">
        <v>436</v>
      </c>
      <c r="B1" s="11" t="s">
        <v>437</v>
      </c>
      <c r="C1" s="11" t="s">
        <v>438</v>
      </c>
      <c r="D1" s="12" t="s">
        <v>481</v>
      </c>
    </row>
    <row r="2" spans="1:4" x14ac:dyDescent="0.25">
      <c r="A2" t="s">
        <v>243</v>
      </c>
      <c r="B2" t="s">
        <v>485</v>
      </c>
    </row>
    <row r="3" spans="1:4" x14ac:dyDescent="0.25">
      <c r="A3" t="s">
        <v>144</v>
      </c>
      <c r="B3" t="s">
        <v>485</v>
      </c>
    </row>
    <row r="4" spans="1:4" x14ac:dyDescent="0.25">
      <c r="A4" t="s">
        <v>21</v>
      </c>
      <c r="B4" t="s">
        <v>485</v>
      </c>
    </row>
    <row r="5" spans="1:4" x14ac:dyDescent="0.25">
      <c r="A5" t="s">
        <v>128</v>
      </c>
      <c r="B5" t="s">
        <v>485</v>
      </c>
    </row>
    <row r="6" spans="1:4" x14ac:dyDescent="0.25">
      <c r="A6" t="s">
        <v>113</v>
      </c>
      <c r="B6" t="s">
        <v>439</v>
      </c>
      <c r="C6" t="s">
        <v>440</v>
      </c>
      <c r="D6">
        <f>MATCH(A6,Sheet2!A:A,0)</f>
        <v>6</v>
      </c>
    </row>
    <row r="7" spans="1:4" x14ac:dyDescent="0.25">
      <c r="A7" t="s">
        <v>6</v>
      </c>
      <c r="B7" t="s">
        <v>485</v>
      </c>
    </row>
    <row r="8" spans="1:4" x14ac:dyDescent="0.25">
      <c r="A8" t="s">
        <v>107</v>
      </c>
      <c r="B8" t="s">
        <v>485</v>
      </c>
    </row>
    <row r="9" spans="1:4" x14ac:dyDescent="0.25">
      <c r="A9" t="s">
        <v>65</v>
      </c>
      <c r="B9" t="s">
        <v>439</v>
      </c>
      <c r="C9" t="s">
        <v>441</v>
      </c>
      <c r="D9">
        <f>MATCH(A9,Sheet2!A:A,0)</f>
        <v>9</v>
      </c>
    </row>
    <row r="10" spans="1:4" x14ac:dyDescent="0.25">
      <c r="A10" t="s">
        <v>110</v>
      </c>
      <c r="B10" t="s">
        <v>439</v>
      </c>
      <c r="C10" t="s">
        <v>442</v>
      </c>
      <c r="D10">
        <f>MATCH(A10,Sheet2!A:A,0)</f>
        <v>10</v>
      </c>
    </row>
    <row r="11" spans="1:4" x14ac:dyDescent="0.25">
      <c r="A11" t="s">
        <v>17</v>
      </c>
      <c r="B11" t="s">
        <v>443</v>
      </c>
      <c r="C11" t="s">
        <v>444</v>
      </c>
      <c r="D11">
        <f>MATCH(A11,Sheet2!A:A,0)</f>
        <v>11</v>
      </c>
    </row>
    <row r="12" spans="1:4" x14ac:dyDescent="0.25">
      <c r="A12" t="s">
        <v>132</v>
      </c>
      <c r="B12" t="s">
        <v>446</v>
      </c>
      <c r="C12" t="s">
        <v>447</v>
      </c>
      <c r="D12">
        <f>MATCH(A12,Sheet2!A:A,0)</f>
        <v>12</v>
      </c>
    </row>
    <row r="13" spans="1:4" x14ac:dyDescent="0.25">
      <c r="A13" t="s">
        <v>166</v>
      </c>
      <c r="B13" t="s">
        <v>485</v>
      </c>
    </row>
    <row r="14" spans="1:4" x14ac:dyDescent="0.25">
      <c r="A14" t="s">
        <v>53</v>
      </c>
      <c r="B14" t="s">
        <v>448</v>
      </c>
      <c r="C14" t="s">
        <v>449</v>
      </c>
      <c r="D14">
        <f>MATCH(A14,Sheet2!A:A,0)</f>
        <v>14</v>
      </c>
    </row>
    <row r="15" spans="1:4" x14ac:dyDescent="0.25">
      <c r="A15" t="s">
        <v>92</v>
      </c>
      <c r="B15" t="s">
        <v>485</v>
      </c>
    </row>
    <row r="16" spans="1:4" x14ac:dyDescent="0.25">
      <c r="A16" t="s">
        <v>82</v>
      </c>
      <c r="B16" t="s">
        <v>450</v>
      </c>
      <c r="C16" t="s">
        <v>451</v>
      </c>
      <c r="D16">
        <f>MATCH(A16,Sheet2!A:A,0)</f>
        <v>16</v>
      </c>
    </row>
    <row r="17" spans="1:4" x14ac:dyDescent="0.25">
      <c r="A17" t="s">
        <v>82</v>
      </c>
      <c r="B17" t="s">
        <v>443</v>
      </c>
      <c r="C17" t="s">
        <v>445</v>
      </c>
      <c r="D17">
        <f>MATCH(A17,Sheet2!A:A,0)</f>
        <v>16</v>
      </c>
    </row>
    <row r="18" spans="1:4" x14ac:dyDescent="0.25">
      <c r="A18" t="s">
        <v>116</v>
      </c>
      <c r="B18" t="s">
        <v>485</v>
      </c>
    </row>
    <row r="19" spans="1:4" x14ac:dyDescent="0.25">
      <c r="A19" t="s">
        <v>96</v>
      </c>
      <c r="B19" t="s">
        <v>439</v>
      </c>
      <c r="C19" t="s">
        <v>452</v>
      </c>
      <c r="D19">
        <f>MATCH(A19,Sheet2!A:A,0)</f>
        <v>18</v>
      </c>
    </row>
    <row r="20" spans="1:4" x14ac:dyDescent="0.25">
      <c r="A20" t="s">
        <v>480</v>
      </c>
      <c r="B20" t="s">
        <v>485</v>
      </c>
    </row>
    <row r="21" spans="1:4" x14ac:dyDescent="0.25">
      <c r="A21" t="s">
        <v>156</v>
      </c>
      <c r="B21" t="s">
        <v>443</v>
      </c>
      <c r="C21" t="s">
        <v>453</v>
      </c>
      <c r="D21">
        <f>MATCH(A21,Sheet2!A:A,0)</f>
        <v>20</v>
      </c>
    </row>
    <row r="22" spans="1:4" x14ac:dyDescent="0.25">
      <c r="A22" t="s">
        <v>136</v>
      </c>
      <c r="B22" t="s">
        <v>485</v>
      </c>
    </row>
    <row r="23" spans="1:4" x14ac:dyDescent="0.25">
      <c r="A23" t="s">
        <v>124</v>
      </c>
      <c r="B23" t="s">
        <v>485</v>
      </c>
    </row>
    <row r="24" spans="1:4" x14ac:dyDescent="0.25">
      <c r="A24" t="s">
        <v>454</v>
      </c>
      <c r="B24" t="s">
        <v>439</v>
      </c>
      <c r="C24" t="s">
        <v>442</v>
      </c>
      <c r="D24">
        <f>MATCH(A24,Sheet2!A:A,0)</f>
        <v>23</v>
      </c>
    </row>
    <row r="25" spans="1:4" x14ac:dyDescent="0.25">
      <c r="A25" t="s">
        <v>186</v>
      </c>
      <c r="B25" t="s">
        <v>448</v>
      </c>
      <c r="C25" t="s">
        <v>455</v>
      </c>
      <c r="D25">
        <f>MATCH(A25,Sheet2!A:A,0)</f>
        <v>24</v>
      </c>
    </row>
    <row r="26" spans="1:4" x14ac:dyDescent="0.25">
      <c r="A26" t="s">
        <v>479</v>
      </c>
      <c r="B26" t="s">
        <v>485</v>
      </c>
    </row>
    <row r="27" spans="1:4" x14ac:dyDescent="0.25">
      <c r="A27" t="s">
        <v>210</v>
      </c>
      <c r="B27" t="s">
        <v>485</v>
      </c>
    </row>
    <row r="28" spans="1:4" x14ac:dyDescent="0.25">
      <c r="A28" t="s">
        <v>45</v>
      </c>
      <c r="B28" t="s">
        <v>443</v>
      </c>
      <c r="C28" t="s">
        <v>453</v>
      </c>
      <c r="D28">
        <f>MATCH(A28,Sheet2!A:A,0)</f>
        <v>27</v>
      </c>
    </row>
    <row r="29" spans="1:4" x14ac:dyDescent="0.25">
      <c r="A29" t="s">
        <v>478</v>
      </c>
      <c r="B29" t="s">
        <v>485</v>
      </c>
    </row>
    <row r="30" spans="1:4" x14ac:dyDescent="0.25">
      <c r="A30" t="s">
        <v>189</v>
      </c>
      <c r="B30" t="s">
        <v>485</v>
      </c>
    </row>
    <row r="31" spans="1:4" x14ac:dyDescent="0.25">
      <c r="A31" t="s">
        <v>151</v>
      </c>
      <c r="B31" t="s">
        <v>439</v>
      </c>
      <c r="C31" t="s">
        <v>456</v>
      </c>
      <c r="D31">
        <f>MATCH(A31,Sheet2!A:A,0)</f>
        <v>30</v>
      </c>
    </row>
    <row r="32" spans="1:4" x14ac:dyDescent="0.25">
      <c r="A32" t="s">
        <v>477</v>
      </c>
      <c r="B32" t="s">
        <v>485</v>
      </c>
    </row>
    <row r="33" spans="1:4" x14ac:dyDescent="0.25">
      <c r="A33" t="s">
        <v>174</v>
      </c>
      <c r="B33" t="s">
        <v>485</v>
      </c>
    </row>
    <row r="34" spans="1:4" x14ac:dyDescent="0.25">
      <c r="A34" t="s">
        <v>161</v>
      </c>
      <c r="B34" t="s">
        <v>443</v>
      </c>
      <c r="C34" t="s">
        <v>453</v>
      </c>
      <c r="D34">
        <f>MATCH(A34,Sheet2!A:A,0)</f>
        <v>33</v>
      </c>
    </row>
    <row r="35" spans="1:4" x14ac:dyDescent="0.25">
      <c r="A35" t="s">
        <v>2</v>
      </c>
      <c r="B35" t="s">
        <v>485</v>
      </c>
    </row>
    <row r="36" spans="1:4" x14ac:dyDescent="0.25">
      <c r="A36" t="s">
        <v>170</v>
      </c>
      <c r="B36" t="s">
        <v>485</v>
      </c>
    </row>
    <row r="37" spans="1:4" x14ac:dyDescent="0.25">
      <c r="A37" t="s">
        <v>476</v>
      </c>
      <c r="B37" t="s">
        <v>485</v>
      </c>
    </row>
    <row r="38" spans="1:4" x14ac:dyDescent="0.25">
      <c r="A38" t="s">
        <v>220</v>
      </c>
      <c r="B38" t="s">
        <v>457</v>
      </c>
      <c r="C38" t="s">
        <v>457</v>
      </c>
      <c r="D38">
        <f>MATCH(A38,Sheet2!A:A,0)</f>
        <v>37</v>
      </c>
    </row>
    <row r="39" spans="1:4" x14ac:dyDescent="0.25">
      <c r="A39" t="s">
        <v>220</v>
      </c>
      <c r="B39" t="s">
        <v>439</v>
      </c>
      <c r="C39" t="s">
        <v>442</v>
      </c>
      <c r="D39">
        <f>MATCH(A39,Sheet2!A:A,0)</f>
        <v>37</v>
      </c>
    </row>
    <row r="40" spans="1:4" x14ac:dyDescent="0.25">
      <c r="A40" t="s">
        <v>118</v>
      </c>
      <c r="B40" t="s">
        <v>485</v>
      </c>
    </row>
    <row r="41" spans="1:4" x14ac:dyDescent="0.25">
      <c r="A41" t="s">
        <v>253</v>
      </c>
      <c r="B41" t="s">
        <v>439</v>
      </c>
      <c r="C41" t="s">
        <v>458</v>
      </c>
      <c r="D41">
        <f>MATCH(A41,Sheet2!A:A,0)</f>
        <v>39</v>
      </c>
    </row>
    <row r="42" spans="1:4" x14ac:dyDescent="0.25">
      <c r="A42" t="s">
        <v>50</v>
      </c>
      <c r="B42" t="s">
        <v>459</v>
      </c>
      <c r="C42" t="s">
        <v>460</v>
      </c>
      <c r="D42">
        <f>MATCH(A42,Sheet2!A:A,0)</f>
        <v>40</v>
      </c>
    </row>
    <row r="43" spans="1:4" x14ac:dyDescent="0.25">
      <c r="A43" t="s">
        <v>461</v>
      </c>
      <c r="B43" t="s">
        <v>450</v>
      </c>
      <c r="C43" t="s">
        <v>462</v>
      </c>
      <c r="D43">
        <f>MATCH(A43,Sheet2!A:A,0)</f>
        <v>41</v>
      </c>
    </row>
    <row r="44" spans="1:4" x14ac:dyDescent="0.25">
      <c r="A44" t="s">
        <v>24</v>
      </c>
      <c r="B44" t="s">
        <v>485</v>
      </c>
    </row>
    <row r="45" spans="1:4" x14ac:dyDescent="0.25">
      <c r="A45" t="s">
        <v>149</v>
      </c>
      <c r="B45" t="s">
        <v>439</v>
      </c>
      <c r="C45" t="s">
        <v>441</v>
      </c>
      <c r="D45">
        <f>MATCH(A45,Sheet2!A:A,0)</f>
        <v>43</v>
      </c>
    </row>
    <row r="46" spans="1:4" x14ac:dyDescent="0.25">
      <c r="A46" t="s">
        <v>200</v>
      </c>
      <c r="B46" t="s">
        <v>485</v>
      </c>
    </row>
    <row r="47" spans="1:4" x14ac:dyDescent="0.25">
      <c r="A47" t="s">
        <v>475</v>
      </c>
      <c r="B47" t="s">
        <v>485</v>
      </c>
    </row>
    <row r="48" spans="1:4" x14ac:dyDescent="0.25">
      <c r="A48" t="s">
        <v>58</v>
      </c>
      <c r="B48" t="s">
        <v>485</v>
      </c>
    </row>
    <row r="49" spans="1:4" x14ac:dyDescent="0.25">
      <c r="A49" t="s">
        <v>143</v>
      </c>
      <c r="B49" t="s">
        <v>485</v>
      </c>
    </row>
    <row r="50" spans="1:4" x14ac:dyDescent="0.25">
      <c r="A50" t="s">
        <v>224</v>
      </c>
      <c r="B50" t="s">
        <v>439</v>
      </c>
      <c r="C50" t="s">
        <v>441</v>
      </c>
      <c r="D50">
        <f>MATCH(A50,Sheet2!A:A,0)</f>
        <v>48</v>
      </c>
    </row>
    <row r="51" spans="1:4" x14ac:dyDescent="0.25">
      <c r="A51" t="s">
        <v>39</v>
      </c>
      <c r="B51" t="s">
        <v>463</v>
      </c>
      <c r="C51" t="s">
        <v>464</v>
      </c>
      <c r="D51">
        <f>MATCH(A51,Sheet2!A:A,0)</f>
        <v>49</v>
      </c>
    </row>
    <row r="52" spans="1:4" x14ac:dyDescent="0.25">
      <c r="A52" t="s">
        <v>39</v>
      </c>
      <c r="B52" t="s">
        <v>459</v>
      </c>
      <c r="C52" t="s">
        <v>464</v>
      </c>
      <c r="D52">
        <f>MATCH(A52,Sheet2!A:A,0)</f>
        <v>49</v>
      </c>
    </row>
    <row r="53" spans="1:4" x14ac:dyDescent="0.25">
      <c r="A53" t="s">
        <v>126</v>
      </c>
      <c r="B53" t="s">
        <v>485</v>
      </c>
    </row>
    <row r="54" spans="1:4" x14ac:dyDescent="0.25">
      <c r="A54" t="s">
        <v>10</v>
      </c>
      <c r="B54" t="s">
        <v>443</v>
      </c>
      <c r="C54" t="s">
        <v>453</v>
      </c>
      <c r="D54">
        <f>MATCH(A54,Sheet2!A:A,0)</f>
        <v>51</v>
      </c>
    </row>
    <row r="55" spans="1:4" x14ac:dyDescent="0.25">
      <c r="A55" t="s">
        <v>146</v>
      </c>
      <c r="B55" t="s">
        <v>485</v>
      </c>
    </row>
    <row r="56" spans="1:4" x14ac:dyDescent="0.25">
      <c r="A56" t="s">
        <v>195</v>
      </c>
      <c r="B56" t="s">
        <v>439</v>
      </c>
      <c r="C56" t="s">
        <v>441</v>
      </c>
      <c r="D56">
        <f>MATCH(A56,Sheet2!A:A,0)</f>
        <v>53</v>
      </c>
    </row>
    <row r="57" spans="1:4" x14ac:dyDescent="0.25">
      <c r="A57" t="s">
        <v>474</v>
      </c>
      <c r="B57" t="s">
        <v>485</v>
      </c>
    </row>
    <row r="58" spans="1:4" x14ac:dyDescent="0.25">
      <c r="A58" t="s">
        <v>206</v>
      </c>
      <c r="B58" t="s">
        <v>443</v>
      </c>
      <c r="C58" t="s">
        <v>453</v>
      </c>
      <c r="D58">
        <f>MATCH(A58,Sheet2!A:A,0)</f>
        <v>55</v>
      </c>
    </row>
    <row r="59" spans="1:4" x14ac:dyDescent="0.25">
      <c r="A59" t="s">
        <v>14</v>
      </c>
      <c r="B59" t="s">
        <v>439</v>
      </c>
      <c r="C59" t="s">
        <v>441</v>
      </c>
      <c r="D59">
        <f>MATCH(A59,Sheet2!A:A,0)</f>
        <v>56</v>
      </c>
    </row>
    <row r="60" spans="1:4" x14ac:dyDescent="0.25">
      <c r="A60" t="s">
        <v>103</v>
      </c>
      <c r="B60" t="s">
        <v>485</v>
      </c>
    </row>
    <row r="61" spans="1:4" x14ac:dyDescent="0.25">
      <c r="A61" t="s">
        <v>27</v>
      </c>
      <c r="B61" t="s">
        <v>443</v>
      </c>
      <c r="C61" t="s">
        <v>453</v>
      </c>
      <c r="D61">
        <f>MATCH(A61,Sheet2!A:A,0)</f>
        <v>58</v>
      </c>
    </row>
    <row r="62" spans="1:4" x14ac:dyDescent="0.25">
      <c r="A62" t="s">
        <v>27</v>
      </c>
      <c r="B62" t="s">
        <v>457</v>
      </c>
      <c r="C62" t="s">
        <v>457</v>
      </c>
      <c r="D62">
        <f>MATCH(A62,Sheet2!A:A,0)</f>
        <v>58</v>
      </c>
    </row>
    <row r="63" spans="1:4" x14ac:dyDescent="0.25">
      <c r="A63" t="s">
        <v>27</v>
      </c>
      <c r="B63" t="s">
        <v>443</v>
      </c>
      <c r="C63" t="s">
        <v>453</v>
      </c>
      <c r="D63">
        <f>MATCH(A63,Sheet2!A:A,0)</f>
        <v>58</v>
      </c>
    </row>
    <row r="64" spans="1:4" x14ac:dyDescent="0.25">
      <c r="A64" t="s">
        <v>473</v>
      </c>
      <c r="B64" t="s">
        <v>485</v>
      </c>
    </row>
    <row r="65" spans="1:4" x14ac:dyDescent="0.25">
      <c r="A65" t="s">
        <v>76</v>
      </c>
      <c r="B65" t="s">
        <v>439</v>
      </c>
      <c r="C65" t="s">
        <v>441</v>
      </c>
      <c r="D65">
        <f>MATCH(A65,Sheet2!A:A,0)</f>
        <v>60</v>
      </c>
    </row>
    <row r="66" spans="1:4" x14ac:dyDescent="0.25">
      <c r="A66" t="s">
        <v>36</v>
      </c>
      <c r="B66" t="s">
        <v>439</v>
      </c>
      <c r="C66" t="s">
        <v>441</v>
      </c>
      <c r="D66">
        <f>MATCH(A66,Sheet2!A:A,0)</f>
        <v>61</v>
      </c>
    </row>
    <row r="67" spans="1:4" x14ac:dyDescent="0.25">
      <c r="A67" t="s">
        <v>192</v>
      </c>
      <c r="B67" t="s">
        <v>485</v>
      </c>
    </row>
    <row r="68" spans="1:4" x14ac:dyDescent="0.25">
      <c r="A68" t="s">
        <v>465</v>
      </c>
      <c r="B68" t="s">
        <v>450</v>
      </c>
      <c r="C68" t="s">
        <v>451</v>
      </c>
      <c r="D68">
        <f>MATCH(A68,Sheet2!A:A,0)</f>
        <v>63</v>
      </c>
    </row>
    <row r="69" spans="1:4" x14ac:dyDescent="0.25">
      <c r="A69" t="s">
        <v>233</v>
      </c>
      <c r="B69" t="s">
        <v>485</v>
      </c>
    </row>
    <row r="70" spans="1:4" x14ac:dyDescent="0.25">
      <c r="A70" t="s">
        <v>70</v>
      </c>
      <c r="B70" t="s">
        <v>485</v>
      </c>
    </row>
    <row r="71" spans="1:4" x14ac:dyDescent="0.25">
      <c r="A71" t="s">
        <v>99</v>
      </c>
      <c r="B71" t="s">
        <v>485</v>
      </c>
    </row>
    <row r="72" spans="1:4" x14ac:dyDescent="0.25">
      <c r="A72" t="s">
        <v>68</v>
      </c>
      <c r="B72" t="s">
        <v>466</v>
      </c>
      <c r="C72" t="s">
        <v>467</v>
      </c>
      <c r="D72">
        <f>MATCH(A72,Sheet2!A:A,0)</f>
        <v>67</v>
      </c>
    </row>
    <row r="73" spans="1:4" x14ac:dyDescent="0.25">
      <c r="A73" t="s">
        <v>179</v>
      </c>
      <c r="B73" t="s">
        <v>443</v>
      </c>
      <c r="C73" t="s">
        <v>453</v>
      </c>
      <c r="D73">
        <f>MATCH(A73,Sheet2!A:A,0)</f>
        <v>68</v>
      </c>
    </row>
    <row r="74" spans="1:4" x14ac:dyDescent="0.25">
      <c r="A74" t="s">
        <v>43</v>
      </c>
      <c r="B74" t="s">
        <v>446</v>
      </c>
      <c r="C74" t="s">
        <v>447</v>
      </c>
      <c r="D74">
        <f>MATCH(A74,Sheet2!A:A,0)</f>
        <v>69</v>
      </c>
    </row>
    <row r="75" spans="1:4" x14ac:dyDescent="0.25">
      <c r="A75" t="s">
        <v>73</v>
      </c>
      <c r="B75" t="s">
        <v>443</v>
      </c>
      <c r="C75" t="s">
        <v>468</v>
      </c>
      <c r="D75">
        <f>MATCH(A75,Sheet2!A:A,0)</f>
        <v>70</v>
      </c>
    </row>
    <row r="76" spans="1:4" x14ac:dyDescent="0.25">
      <c r="A76" t="s">
        <v>472</v>
      </c>
      <c r="B76" t="s">
        <v>485</v>
      </c>
    </row>
    <row r="77" spans="1:4" x14ac:dyDescent="0.25">
      <c r="A77" t="s">
        <v>139</v>
      </c>
      <c r="B77" t="s">
        <v>439</v>
      </c>
      <c r="C77" t="s">
        <v>469</v>
      </c>
      <c r="D77">
        <f>MATCH(A77,Sheet2!A:A,0)</f>
        <v>72</v>
      </c>
    </row>
    <row r="78" spans="1:4" x14ac:dyDescent="0.25">
      <c r="A78" t="s">
        <v>177</v>
      </c>
      <c r="B78" t="s">
        <v>485</v>
      </c>
    </row>
    <row r="79" spans="1:4" x14ac:dyDescent="0.25">
      <c r="A79" t="s">
        <v>30</v>
      </c>
      <c r="B79" t="s">
        <v>485</v>
      </c>
    </row>
    <row r="80" spans="1:4" x14ac:dyDescent="0.25">
      <c r="A80" t="s">
        <v>86</v>
      </c>
      <c r="B80" t="s">
        <v>466</v>
      </c>
      <c r="C80" t="s">
        <v>467</v>
      </c>
      <c r="D80">
        <f>MATCH(A80,Sheet2!A:A,0)</f>
        <v>75</v>
      </c>
    </row>
    <row r="81" spans="1:4" x14ac:dyDescent="0.25">
      <c r="A81" t="s">
        <v>79</v>
      </c>
      <c r="B81" t="s">
        <v>439</v>
      </c>
      <c r="C81" t="s">
        <v>440</v>
      </c>
      <c r="D81">
        <f>MATCH(A81,Sheet2!A:A,0)</f>
        <v>76</v>
      </c>
    </row>
    <row r="82" spans="1:4" x14ac:dyDescent="0.25">
      <c r="A82" t="s">
        <v>470</v>
      </c>
      <c r="B82" t="s">
        <v>439</v>
      </c>
      <c r="C82" t="s">
        <v>440</v>
      </c>
      <c r="D82">
        <f>MATCH(A82,Sheet2!A:A,0)</f>
        <v>77</v>
      </c>
    </row>
    <row r="83" spans="1:4" x14ac:dyDescent="0.25">
      <c r="A83" t="s">
        <v>134</v>
      </c>
      <c r="B83" t="s">
        <v>439</v>
      </c>
      <c r="C83" t="s">
        <v>440</v>
      </c>
      <c r="D83">
        <f>MATCH(A83,Sheet2!A:A,0)</f>
        <v>78</v>
      </c>
    </row>
  </sheetData>
  <sortState xmlns:xlrd2="http://schemas.microsoft.com/office/spreadsheetml/2017/richdata2" ref="A2:D83">
    <sortCondition ref="A2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Lakes of Oklahoma Data</vt:lpstr>
      <vt:lpstr>Sheet2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255568</dc:creator>
  <cp:lastModifiedBy>Jordon Henderson</cp:lastModifiedBy>
  <dcterms:created xsi:type="dcterms:W3CDTF">2015-10-19T17:39:07Z</dcterms:created>
  <dcterms:modified xsi:type="dcterms:W3CDTF">2026-04-29T19:17:24Z</dcterms:modified>
</cp:coreProperties>
</file>